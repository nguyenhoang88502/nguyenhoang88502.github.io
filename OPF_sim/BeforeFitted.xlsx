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nguyenhoang88502\Downloads\"/>
    </mc:Choice>
  </mc:AlternateContent>
  <xr:revisionPtr revIDLastSave="0" documentId="13_ncr:1_{3BCA1AC2-F08E-4F63-A465-0E78BEDD117A}" xr6:coauthVersionLast="47" xr6:coauthVersionMax="47" xr10:uidLastSave="{00000000-0000-0000-0000-000000000000}"/>
  <bookViews>
    <workbookView xWindow="-108" yWindow="-108" windowWidth="23256" windowHeight="12456" xr2:uid="{00000000-000D-0000-FFFF-FFFF00000000}"/>
  </bookViews>
  <sheets>
    <sheet name="1" sheetId="1" r:id="rId1"/>
    <sheet name="CB_DATA_" sheetId="10" state="veryHidden" r:id="rId2"/>
    <sheet name="1.0_1. tán_co_terminal" sheetId="2" r:id="rId3"/>
    <sheet name="1.1_2. Housing_top_lò_xo" sheetId="3" r:id="rId4"/>
    <sheet name="1.2_3. lắp_dao,_bắn_vít" sheetId="4" r:id="rId5"/>
    <sheet name="1.3_4. cắm_vào_hipot,_bỏ_" sheetId="5" r:id="rId6"/>
    <sheet name="1.4_5. xịt,_lắp_chèn,_dâ" sheetId="6" r:id="rId7"/>
    <sheet name="1.5_6. luồn_hdpe,_hộp_nhu" sheetId="7" r:id="rId8"/>
    <sheet name="1.6_7. bỏ_color_box,_dán_ke" sheetId="8" r:id="rId9"/>
    <sheet name="1.7_8. master_carton,_keo" sheetId="9" r:id="rId10"/>
  </sheets>
  <definedNames>
    <definedName name="CB_08274ebbd07f4ddca3e6951cb9fc0326" localSheetId="3" hidden="1">'1.1_2. Housing_top_lò_xo'!$E$4</definedName>
    <definedName name="CB_2f934eb8e80149048ff24f3fa4807317" localSheetId="0" hidden="1">'1'!$H$5</definedName>
    <definedName name="CB_3b59e2e0922147a082a77340d02cf34b" localSheetId="0" hidden="1">'1'!$Q$14</definedName>
    <definedName name="CB_41fd2dc2a3774f289a6dd941161fe7b2" localSheetId="0" hidden="1">'1'!$Q$5</definedName>
    <definedName name="CB_435cf8acc4b54fc6adf328bf7cb8fba0" localSheetId="2" hidden="1">'1.0_1. tán_co_terminal'!$F$5</definedName>
    <definedName name="CB_5f0cbaf5efab4eecb79fe855da2ad05f" localSheetId="2" hidden="1">'1.0_1. tán_co_terminal'!$E$4</definedName>
    <definedName name="CB_6925e8cbc764419e8d281e515493ca92" localSheetId="0" hidden="1">'1'!$AI$14</definedName>
    <definedName name="CB_6decaafd282647aca81b8ac5b720faa8" localSheetId="3" hidden="1">'1.1_2. Housing_top_lò_xo'!$F$6</definedName>
    <definedName name="CB_744dc82f9bf0414aafcdb4dcd1828b97" localSheetId="0" hidden="1">'1'!$Q$22</definedName>
    <definedName name="CB_7a48c5a88334425fa00cd4552a6d97e0" localSheetId="0" hidden="1">'1'!$AI$5</definedName>
    <definedName name="CB_81d03466ecd44ca89a8ea19fda602839" localSheetId="3" hidden="1">'1.1_2. Housing_top_lò_xo'!$B$18</definedName>
    <definedName name="CB_99adf718adf34d499a393ff840576fcf" localSheetId="0" hidden="1">'1'!$H$14</definedName>
    <definedName name="CB_ac98e827d341463bb217e5485a3f9339" localSheetId="7" hidden="1">'1.5_6. luồn_hdpe,_hộp_nhu'!$C$18</definedName>
    <definedName name="CB_ae8f0abd4fcc4e478f861f0e2d2c8ebb" localSheetId="3" hidden="1">'1.1_2. Housing_top_lò_xo'!$F$5</definedName>
    <definedName name="CB_Block_00000000000000000000000000000000" localSheetId="0" hidden="1">"'7.0.0.0"</definedName>
    <definedName name="CB_Block_00000000000000000000000000000000" localSheetId="2" hidden="1">"'7.0.0.0"</definedName>
    <definedName name="CB_Block_00000000000000000000000000000000" localSheetId="3" hidden="1">"'7.0.0.0"</definedName>
    <definedName name="CB_Block_00000000000000000000000000000000" localSheetId="4" hidden="1">"'7.0.0.0"</definedName>
    <definedName name="CB_Block_00000000000000000000000000000000" localSheetId="5" hidden="1">"'7.0.0.0"</definedName>
    <definedName name="CB_Block_00000000000000000000000000000000" localSheetId="6" hidden="1">"'7.0.0.0"</definedName>
    <definedName name="CB_Block_00000000000000000000000000000000" localSheetId="7" hidden="1">"'7.0.0.0"</definedName>
    <definedName name="CB_Block_00000000000000000000000000000000" localSheetId="8" hidden="1">"'7.0.0.0"</definedName>
    <definedName name="CB_Block_00000000000000000000000000000000" localSheetId="9" hidden="1">"'7.0.0.0"</definedName>
    <definedName name="CB_Block_00000000000000000000000000000001" localSheetId="0" hidden="1">"'639124013390443293"</definedName>
    <definedName name="CB_Block_00000000000000000000000000000001" localSheetId="2" hidden="1">"'639124013390878326"</definedName>
    <definedName name="CB_Block_00000000000000000000000000000001" localSheetId="3" hidden="1">"'639124013389986577"</definedName>
    <definedName name="CB_Block_00000000000000000000000000000001" localSheetId="4" hidden="1">"'639124013390046553"</definedName>
    <definedName name="CB_Block_00000000000000000000000000000001" localSheetId="5" hidden="1">"'639124013390719380"</definedName>
    <definedName name="CB_Block_00000000000000000000000000000001" localSheetId="6" hidden="1">"'639124013389793999"</definedName>
    <definedName name="CB_Block_00000000000000000000000000000001" localSheetId="7" hidden="1">"'639124013389687595"</definedName>
    <definedName name="CB_Block_00000000000000000000000000000001" localSheetId="8" hidden="1">"'639124001725680431"</definedName>
    <definedName name="CB_Block_00000000000000000000000000000001" localSheetId="9" hidden="1">"'639124013390771516"</definedName>
    <definedName name="CB_Block_00000000000000000000000000000001" localSheetId="1" hidden="1">"'639124013390099409"</definedName>
    <definedName name="CB_Block_00000000000000000000000000000003" localSheetId="0" hidden="1">"'11.1.4716.0"</definedName>
    <definedName name="CB_Block_00000000000000000000000000000003" localSheetId="2" hidden="1">"'11.1.4716.0"</definedName>
    <definedName name="CB_Block_00000000000000000000000000000003" localSheetId="3" hidden="1">"'11.1.4716.0"</definedName>
    <definedName name="CB_Block_00000000000000000000000000000003" localSheetId="4" hidden="1">"'11.1.4716.0"</definedName>
    <definedName name="CB_Block_00000000000000000000000000000003" localSheetId="5" hidden="1">"'11.1.4716.0"</definedName>
    <definedName name="CB_Block_00000000000000000000000000000003" localSheetId="6" hidden="1">"'11.1.4716.0"</definedName>
    <definedName name="CB_Block_00000000000000000000000000000003" localSheetId="7" hidden="1">"'11.1.4716.0"</definedName>
    <definedName name="CB_Block_00000000000000000000000000000003" localSheetId="8" hidden="1">"'11.1.4716.0"</definedName>
    <definedName name="CB_Block_00000000000000000000000000000003" localSheetId="9" hidden="1">"'11.1.4716.0"</definedName>
    <definedName name="CB_BlockExt_00000000000000000000000000000003" localSheetId="0" hidden="1">"'11.1.2.4.850"</definedName>
    <definedName name="CB_BlockExt_00000000000000000000000000000003" localSheetId="2" hidden="1">"'11.1.2.4.850"</definedName>
    <definedName name="CB_BlockExt_00000000000000000000000000000003" localSheetId="3" hidden="1">"'11.1.2.4.850"</definedName>
    <definedName name="CB_BlockExt_00000000000000000000000000000003" localSheetId="4" hidden="1">"'11.1.2.4.850"</definedName>
    <definedName name="CB_BlockExt_00000000000000000000000000000003" localSheetId="5" hidden="1">"'11.1.2.4.850"</definedName>
    <definedName name="CB_BlockExt_00000000000000000000000000000003" localSheetId="6" hidden="1">"'11.1.2.4.850"</definedName>
    <definedName name="CB_BlockExt_00000000000000000000000000000003" localSheetId="7" hidden="1">"'11.1.2.4.850"</definedName>
    <definedName name="CB_BlockExt_00000000000000000000000000000003" localSheetId="8" hidden="1">"'11.1.2.4.850"</definedName>
    <definedName name="CB_BlockExt_00000000000000000000000000000003" localSheetId="9" hidden="1">"'11.1.2.4.850"</definedName>
    <definedName name="CB_cae232009b8948a5a0497657144206ce" localSheetId="0" hidden="1">'1'!$Z$5</definedName>
    <definedName name="CB_d066061d098f4230b608273ecbfd3b14" localSheetId="4" hidden="1">'1.2_3. lắp_dao,_bắn_vít'!$C$18</definedName>
    <definedName name="CB_d629eb9f58cf4b618fec01901dcc9418" localSheetId="5" hidden="1">'1.3_4. cắm_vào_hipot,_bỏ_'!$B$18</definedName>
    <definedName name="CB_de838090ea014fb6ac0e383b1c5f3c49" localSheetId="6" hidden="1">'1.4_5. xịt,_lắp_chèn,_dâ'!$B$18</definedName>
    <definedName name="CB_e47d6ea0840548f9bf2abf218c7b0919" localSheetId="9" hidden="1">'1.7_8. master_carton,_keo'!$B$18</definedName>
    <definedName name="CB_f8d2cd5f10834585b94c05da4bea8877" localSheetId="0" hidden="1">'1'!$Z$14</definedName>
    <definedName name="CBCR_02d6a4affb384d068d4f8cffdfa6d481" localSheetId="0" hidden="1">'1'!$O$6</definedName>
    <definedName name="CBCR_0a42f2dd2cfe4d75bdf97a6475fbf470" localSheetId="0" hidden="1">'1'!$O$14</definedName>
    <definedName name="CBCR_373fd5ac7ce041498b4938458e864693" localSheetId="0" hidden="1">'1'!$O$15</definedName>
    <definedName name="CBCR_3b227358d5364efeac8dde36581ede51" localSheetId="0" hidden="1">'1'!$AG$8</definedName>
    <definedName name="CBCR_471c6fb054fe404eb90e4806a1beb844" localSheetId="0" hidden="1">'1'!$O$7</definedName>
    <definedName name="CBCR_527b51cb549f49018b35f8064c34bc81" localSheetId="0" hidden="1">'1'!$X$5</definedName>
    <definedName name="CBCR_52f648d685fe406285882e8af8386863" localSheetId="0" hidden="1">'1'!$O$5</definedName>
    <definedName name="CBCR_60781fa4e8b246f7869ce839a5f017ff" localSheetId="0" hidden="1">'1'!$X$6</definedName>
    <definedName name="CBCR_6eb22f349277484e9e8cdccc13f7852c" localSheetId="0" hidden="1">'1'!$F$14</definedName>
    <definedName name="CBCR_71813521e63b4c9fbe5d176650ba138e" localSheetId="0" hidden="1">'1'!$F$6</definedName>
    <definedName name="CBCR_77ee8696452d4291b58da501954c1f18" localSheetId="0" hidden="1">'1'!$AG$5</definedName>
    <definedName name="CBCR_848948a6c74d4a8c8cc76a7074abcb26" localSheetId="0" hidden="1">'1'!$AG$6</definedName>
    <definedName name="CBCR_b41af8adce0046a8bab89ed4fd90d753" localSheetId="0" hidden="1">'1'!$F$16</definedName>
    <definedName name="CBCR_c27cc4b921a84fa09ac34e6561a65c13" localSheetId="0" hidden="1">'1'!$X$16</definedName>
    <definedName name="CBCR_c7f303079cbc460cb236d426a3c3058e" localSheetId="0" hidden="1">'1'!$X$15</definedName>
    <definedName name="CBCR_ce4d58b0a791402fabb30374e8e74e49" localSheetId="0" hidden="1">'1'!$AG$7</definedName>
    <definedName name="CBCR_d107d77489284b159e216091dabf2f1c" localSheetId="0" hidden="1">'1'!$F$5</definedName>
    <definedName name="CBCR_d92e237030534369bd024b345cf1d165" localSheetId="0" hidden="1">'1'!$X$14</definedName>
    <definedName name="CBCR_e6cd0c3238f64e8b9f88518ac1f048fe" localSheetId="0" hidden="1">'1'!$F$15</definedName>
    <definedName name="CBCR_e9c9998d515b444b83fe9be845935779" localSheetId="0" hidden="1">'1'!$AG$15</definedName>
    <definedName name="CBCR_fbf765d8aee5432f9ef116693d422d58" localSheetId="0" hidden="1">'1'!$F$17</definedName>
    <definedName name="CBCR_fdfa02eec1c14fb4b3d2cdfc27c0f6d6" localSheetId="0" hidden="1">'1'!$AG$14</definedName>
    <definedName name="CBWorkbookPriority" localSheetId="1" hidden="1">-3628055144910890</definedName>
    <definedName name="CBx_2ca2d78f3bb94ed2bb3c78c854610759" localSheetId="1" hidden="1">"'1'!$A$1"</definedName>
    <definedName name="CBx_5eb386060ccd4346abc9441a780fcb7f" localSheetId="1" hidden="1">"'1.1_2. Housing_top_lò_xo'!$A$1"</definedName>
    <definedName name="CBx_7be94c2357cf4dbd9d6cd7ad4ffa704c" localSheetId="1" hidden="1">"'1.0_1. tán_co_terminal'!$A$1"</definedName>
    <definedName name="CBx_c79ec0f4763a49e184704c4967205a5e" localSheetId="1" hidden="1">"'1.4_5. xịt,_lắp_chèn,_dâ'!$A$1"</definedName>
    <definedName name="CBx_dfb57019a397423db68225e1dcdf275f" localSheetId="1" hidden="1">"'1.3_4. cắm_vào_hipot,_bỏ_'!$A$1"</definedName>
    <definedName name="CBx_e36f87305039410382877bf104c2641a" localSheetId="1" hidden="1">"'1.7_8. master_carton,_keo'!$A$1"</definedName>
    <definedName name="CBx_e432ae53e87244b98c497e2d16922149" localSheetId="1" hidden="1">"'1.5_6. luồn_hdpe,_hộp_nhu'!$A$1"</definedName>
    <definedName name="CBx_e5b91d84a99a47eca7210085e96dc102" localSheetId="1" hidden="1">"'CB_DATA_'!$A$1"</definedName>
    <definedName name="CBx_eb06ca1206f84e259b68d6d7d31ce507" localSheetId="1" hidden="1">"'1.6_7. bỏ_color_box,_dán_ke'!$A$1"</definedName>
    <definedName name="CBx_f8a0fb06f51047379ba3433637865a9f" localSheetId="1" hidden="1">"'1.2_3. lắp_dao,_bắn_vít'!$A$1"</definedName>
    <definedName name="CBx_Sheet_Guid" localSheetId="0" hidden="1">"'2ca2d78f-3bb9-4ed2-bb3c-78c854610759"</definedName>
    <definedName name="CBx_Sheet_Guid" localSheetId="2" hidden="1">"'7be94c23-57cf-4dbd-9d6c-d7ad4ffa704c"</definedName>
    <definedName name="CBx_Sheet_Guid" localSheetId="3" hidden="1">"'5eb38606-0ccd-4346-abc9-441a780fcb7f"</definedName>
    <definedName name="CBx_Sheet_Guid" localSheetId="4" hidden="1">"'f8a0fb06-f510-4737-9ba3-433637865a9f"</definedName>
    <definedName name="CBx_Sheet_Guid" localSheetId="5" hidden="1">"'dfb57019-a397-423d-b682-25e1dcdf275f"</definedName>
    <definedName name="CBx_Sheet_Guid" localSheetId="6" hidden="1">"'c79ec0f4-763a-49e1-8470-4c4967205a5e"</definedName>
    <definedName name="CBx_Sheet_Guid" localSheetId="7" hidden="1">"'e432ae53-e872-44b9-8c49-7e2d16922149"</definedName>
    <definedName name="CBx_Sheet_Guid" localSheetId="8" hidden="1">"'eb06ca12-06f8-4e25-9b68-d6d7d31ce507"</definedName>
    <definedName name="CBx_Sheet_Guid" localSheetId="9" hidden="1">"'e36f8730-5039-4103-8287-7bf104c2641a"</definedName>
    <definedName name="CBx_Sheet_Guid" localSheetId="1" hidden="1">"'e5b91d84-a99a-47ec-a721-0085e96dc102"</definedName>
    <definedName name="CBx_SheetRef" localSheetId="0" hidden="1">CB_DATA_!$J$14</definedName>
    <definedName name="CBx_SheetRef" localSheetId="2" hidden="1">CB_DATA_!$B$14</definedName>
    <definedName name="CBx_SheetRef" localSheetId="3" hidden="1">CB_DATA_!$C$14</definedName>
    <definedName name="CBx_SheetRef" localSheetId="4" hidden="1">CB_DATA_!$D$14</definedName>
    <definedName name="CBx_SheetRef" localSheetId="5" hidden="1">CB_DATA_!$E$14</definedName>
    <definedName name="CBx_SheetRef" localSheetId="6" hidden="1">CB_DATA_!$F$14</definedName>
    <definedName name="CBx_SheetRef" localSheetId="7" hidden="1">CB_DATA_!$I$14</definedName>
    <definedName name="CBx_SheetRef" localSheetId="8" hidden="1">CB_DATA_!$G$14</definedName>
    <definedName name="CBx_SheetRef" localSheetId="9" hidden="1">CB_DATA_!$H$14</definedName>
    <definedName name="CBx_SheetRef" localSheetId="1" hidden="1">CB_DATA_!$A$14</definedName>
    <definedName name="CBx_StorageType" localSheetId="0" hidden="1">2</definedName>
    <definedName name="CBx_StorageType" localSheetId="2" hidden="1">2</definedName>
    <definedName name="CBx_StorageType" localSheetId="3" hidden="1">2</definedName>
    <definedName name="CBx_StorageType" localSheetId="4" hidden="1">2</definedName>
    <definedName name="CBx_StorageType" localSheetId="5" hidden="1">2</definedName>
    <definedName name="CBx_StorageType" localSheetId="6" hidden="1">2</definedName>
    <definedName name="CBx_StorageType" localSheetId="7" hidden="1">2</definedName>
    <definedName name="CBx_StorageType" localSheetId="8" hidden="1">2</definedName>
    <definedName name="CBx_StorageType" localSheetId="9" hidden="1">2</definedName>
    <definedName name="CBx_StorageType" localSheetId="1" hidde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10" l="1"/>
  <c r="I11" i="10"/>
  <c r="H11" i="10"/>
  <c r="G11" i="10"/>
  <c r="F11" i="10"/>
  <c r="E11" i="10"/>
  <c r="D11" i="10"/>
  <c r="C11" i="10"/>
  <c r="B11" i="10"/>
  <c r="A11" i="10"/>
  <c r="P2" i="10"/>
  <c r="Q22" i="1" l="1"/>
</calcChain>
</file>

<file path=xl/sharedStrings.xml><?xml version="1.0" encoding="utf-8"?>
<sst xmlns="http://schemas.openxmlformats.org/spreadsheetml/2006/main" count="194" uniqueCount="87">
  <si>
    <t>Beta</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</si>
  <si>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</si>
  <si>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</si>
  <si>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</si>
  <si>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</si>
  <si>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</si>
  <si>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</si>
  <si>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</si>
  <si>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</si>
  <si>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</si>
  <si>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</si>
  <si>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</si>
  <si>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</si>
  <si>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e5b91d84-a99a-47ec-a721-0085e96dc102</t>
  </si>
  <si>
    <t>CB_Block_0</t>
  </si>
  <si>
    <t>㜸〱敤㕣㕢㡣㈴㔵ㄹ敥慡敥敡改敡㤹搹ㄹ㜶㤶换慥〸〳挸㐵㘶ㅤ㜶ㄶㄶ㐴㕤搶戹戰ㄷ㤸摤ㄹ㜶㘶ㄷ㡤㥡摥㥡敥㔳㌳挵㜶㔵つ㔵搵戳㌳㐸〲㉡㐸扣愱㤲愰ㄱ㔱〹㈱㈴㍣㜸㝢〱㉦扣㘸㑣㌴〶㡤㈶㥡㘸攲〳ㅡ愳てㅡ戳㠹㉦㍣㤰攰昷㥤慡敡慥敥㥥慥ㄹㅡ搰挱捣㔹晡捣愹㜳慢㜳晥晢昹晦㔳㘴㤴㑣㈶昳ㅡㄲ晦㌲攵㔸戸㜴㙥捤て㠴㍤㍡改㔶慢愲ㅣ㔸慥攳㡦㡥㝢㥥戱㌶㙤昹㐱ㄶㅤ昲㈵ぢ敤扥㔶昲慤晢㐴愱戴㈲㍣ㅦ㥤戴㑣愶㔰搰㔵戴㜳ㄲ晥〶攳〷㥤愳晡㜲挸收㈷㈷㘶ㄶ敥挱慣㜳㠱敢㠹扤挳愷挳戱〷挷挶㐶挷㐶㙦扡㘵散收搱㝤㝢㠷㈷㙢搵愰收㠹㠳㡥愸〵㥥㔱摤㍢㍣㕢㕢愸㕡攵㍢挵摡扣㝢㔶㌸〷挵挲扥ㅢㄷ㡣㥢摥㍢㜶搳㠱〳收慤户扥户て慦捥㥣㤸㥣㤸昵㠴改扦㐹㜳㙡㕣昲㑤㔳愲㙣㜱㙦㐲㜸㤶戳㌸㍡㌹㠱晦ㄲ敢挷搳㉤愳㜳㑢㐲〴㝣戵昰㠴㔳ㄶ扥㡥㠱扤昶戸敦搷散㘵〲㑦户て㘳慢㘵挳て㌴㝢㔲㔴慢扡ㅤ捦㕡戰㘷〰扢慡戱搶㘷捦〹挷户〲㙢挵ち搶昲昶㍣㈶慡昴摢愷㝣㜱搲㜰ㄶ挵〹挳ㄶ㥡㝤愴㘶㔵㜲㘱捡㘴慦㡤愷㐸㉥㑣㙥㝦㜴摣户㈷㤷っ㑦慥挸㈷㘰㔲晡ㅥ昶捡捤㝤慦敡㍣㉦㤷㉥摦挰㌹慦敥摣て㉤愷つ慦摥㜳愴㜳捦㘸昳捤㉢戸愱㜳晦〴㡣㥡挷扣扢昳ㄸ〹捡收摥㑡㙦㐴摦ㄲ愲搸㡣㥥㘷搶挳慣挰㡣〸搴㡢捣㝡㤹昵㈱㔳㜲晦〶㤷㈴〷戲㐹㉤ㄹ㙡㘹㐱㉤㤵搵㔲㐵㉤〹戵㘴慡愵㐵戵戴愴㤶㉣戵㜴㡦㕡㍡㡢㍥㜱㉡昴昴愸㔱晡改㙦慦昸晤㕤㍦㝤攱挴户㙦晢昵㜳捦㤴㥦昸㐳摦づ㜴扡㉢㕡搴㤴㘷㥣〳愹㌵愸㜸晦攸㍥晥摢㤸㉢挰ㄴ收〱昳ㄶ㜳㙣慣㜲㘰㥦㜱愳愱㜱㕢㈹挸㙦㈲㤴㐱昴敤㌳敦戶㥣㡡㝢㑥攲敥搲〹挳ㄷつ挰㡤㐴㙤ㄳ㙥捤愹昸敦㔸扦㜱㉥㌰〲戱愷戵慤㌱㐹摢戰㌹戰㤵昰攵晢㉥㙢ㅤ㜶摡愸搶挴昸慡ㄵ㌶扦戳愵搹㥥昵摣㠵捥慤㠷㍤㜱㙦扤戵㙤㐵攳㄰㙡㉢㜲敥戶㕤㠶㑤攱扡㠶㈷㤷㕣㕦㌸㜲㜹㈳昶慣㔵㍥㉢扣㌹㐱㤱㈸㉡㜲慢ㄷ戲㈹攲晡㤱ㄹ〷ㅢ〵户㔶慥㑣搶㥡户慦〶㘰㘶㔱挱㝡㤷㠵ㄷ慣捤ㅢぢ㔵㜱㔱㔳㤷昰㥤㘸搸摤㔴㝤搸㉤搷晣㐹搷〹㍣户摡摣㌲㕥㔹㌱㈰㘹㉡挷摤㡡挸攵㌲㔲㈸㐰攰㘶戳㡡㤲戹扥㌳㉦㐸㐴㈴㔰㑣㐶扥愴㤹散㐶㑦㘲㜷搸㐵㔵㤰㈶搵㜷㙤㌰ㄹ搷㉢㘵㑣ち〷㈶昶㐴晤挱㤷㕥户挱戴㜵捣扤戵㥤㔵㜵㈸摡晤敤㉢挲〹㡥ㅡ㑥愵㉡扣㔴敤愷㜰㐵晡〰㌲敤㍣〴㐲㐷攸㔱搵㈹慢捡㥡㜶捥慡〴㑢昹㈵㘱㉤㉥〵愸㠳㠶㉣ㄴ〸摡戶愴㕦㠰㉡㝤㈷戳㈱㘴挵㘲㈶扦㡢㥤昲㐵愴㡣㐶改㤴挲换㑤㠲㥣攳㥡㜸戹捦㍣㙣㔵〳ㄱち攵〱ㄳㄸ〹戵㥡㐴㕦㍦㐹搴㌳捡愱挲搸㘵㑥㠲㑡つ换〹搶ㅡ㝣摢挶㈵㈱ㄱ㙤换㠲㉤㈷ぢ㈸ち㥡攵㐱ち慦㠱㘸㕡愴㐱㝡攷〴ㄱ㤱つ㔲㌴㍢㘶㙥㈶㌲昶㑦㤱ㄱ攸㥦㈴㐲昶摥搷㔹㐶㤰搸摢㠹㤴㠳㍡昲攳戶㌴㕢捦㤶て愵搹㠵〰㥣㝥ㄱ戳㡢㤹㕤挲㙣㌷㌲攵㙦㤰㜰㤴㜲㈸㌷㈷晤ㅤ㜸搶㉦㘵昶㑥㘴㤰㑦㍡㘵㑥㈴慡㘸㐳㙤挶㡥㘴扦㝥搸挹搲㈸づ㐵ㄱ㉤攳扡㥤搹㙦㑢㐴㐷㔶攷搶搰戵㌹愹㘳慦改㑣㥢挹敤㤰㈲㔳扡㈶昷扡㐱搷㈴㈰搸戵㑢扤㜵㌹㠶敡挳捣慥㐰㔶搴慦㘴づ攵㐲㠳㜷㜳ㄶ㍤㑤捡户㠵㔹ㄴㅡ㐳㕤㉡昸㠸㤰㜹〴㐸ㄱ㜲㙤挷㤷㙤ㅢ㥡收攰㠸昹戶户愱昷㜶收敦〸改㉤㝡㜳㕢敦搰㕦昴㍡慤攸慢挰㕥捡㥦㍡敡㤸慢搱慣㕦挳散㕡㘴㉤㍡㠶愷敦搷敢㈹㤰㘶戱㥤挰摣㑥㝡㕤愴㤵㍢扦戶㉣愴〶敡㌳攷つ㙦㔱〴昰㘰ㅣ㥢㠲㉤散㝡㥥愸攲㔰㕢㤱ㄵ㍣扦㕣摣㕣改ㅦ昶㕣㥢昵摢㌶戲晦戶㔰っ戹㥣㥡捤戴搸挸㈹戶㘶挲攷㤴愰ㅣ敡攰ㅢ㍢ぢ㠹挴愰㘶昲攲戸昴昳攵戶㈴改㐲㤲扣ㅢ㘰搵慦㐷〶㈹愱晣扥愳㐴搹换㙥敦㤱摤㥡㉤㔶㝡昸㔲㑥㈷㉤㍥挴㌶㌹搲ㅢ㍡㙣㈷攰㍦昰晢敤㌹换慥ぢ㡢㕥㝢㔶㜸㘵昸ㄶ慣慡㈸㠶㙥㔹㡡㥡㙤㔹昱㌶㤱ㄵ搹㙣摢㜹㍡挵扦㈶改愴㐵㑡愴㜲㝢㙡㘳捡㔹扣㐱㔴㜴㐳㔲愸愴戸㠶敡ㄲ㠸㤴挷扥摢㈲愶ぢㄱ㜳〳〰愷敦㘳㌶挶㙣㍦㌲敤㔷㤰㌴㥢〵㍣挳㘱㍤㉢㜴㘹㤷㑡㤹〲搱㈰㕤㠴㉦㜵ㄴ㔶〷昸㥡㥢㤹摤㠲慣挵晣愱〳㌲㠵㄰㈵捡ㄳ㠴㈸挳ㄸ收㘹㑢㥣㈳つ散㌰ㄱ㔸㥡慣昹㠱㙢㌳戲搴㙦㑥戹㈷摣㘰捡昲㤷ㄱ㠹ㅡ㌲愳挲摤㑢挲〱㜵㜹戰㝤㕡敡摣攵㘵㔱搱捤㌹户〶搱㜶㙣㙡㉢ㅣ捣〱づ搸㤲昲㙣慥㉡㐸摤㥤㡦㌱㠵〲㐸㑢㝦㉢扤戱㥢昲㝥昳搰㌷搰㠰攸扣ㄵ㔴㐵慦ㄹ㌲ㅤ换〵ㄳ㔰㐴攴愰搲㘳捥㉦㜹㐲㑣昵㥢㐷㍣慢㔲戵ㅣ㐱㘴挰挶㘴戰㙥㕡㉣㈲㑡㌰敢㌲〶攸㍡晤收扣㘷㌸晥戲挱㠰攲摡捥愶㈷ㄹㄶ搱捣〹换昱昱ㅡ㠹㐵㤶〷捣戹㈵昷ㅣ㈲戶㌵摢㌹㘲㉣晢㕢〲㉢㈴晡㌰㐹搴㈸慡愲慡㑡㐱㉤㜴㡢ㅦㅥ挸㌳ㄹ昲㕥㡥㤹挴㔵㐶愳捦㍣㐵㝢搳慥㡦㘲㌴戴搳戹愶㍥㐴㡦敡㤵搹㔴㈹㑣㑥搵㙦攵㤸昷㈱扢攳挸愹㘳㡤挸摣ㅢ㡡㔹㙢昴昲愷挸㜸㐹ㄶ昵㐰〸㝤㜴㍢㐲㔲㘱ㅤ㈹〷ㅣ〸㡣昳愹㤵晣㡡愶散㐳敡摢搱㈸ㅥ㐶㈴愹捦㥣㌶ㄶ㐴ㄵ昱㘸摢〸㜶㠴て㌴㘳㙤愳敡㐷㙤㤳慥㙤ㅢ㈴㉤㤲攵㕣搹㈰〵㡦搷〲昷戸攵攸㈶㌲㐹㝦㔱㤵戱㡡㉡㘳㔵㔶昵㤹㈷ㄹㅡ㤴㘵捥攵㉥ㅡ㥥ㄵ㉣搹㔶戹挰〷㠶敦戶〴㑤㠲挹㈹㜹攳ㄴ换㡣攱ㄶ㙢晥ㄴ㑣㌶㝦ㄴ攸ㅥ㠵ㅣ㈵攸㠸㝥㔰慥慡攴昱㑦改搲戱〴〱㈳㍤愵晡〷㌰㥢㈶㙦㐷㐰攴挸㜴㍥扥㠳㜱晥〱搴㠴㐲㠸㔸㑦㈱ㄱ㜸〵ㄳ㐲㥥㉥敥扣㜹捡戱〲㘰㡦ㄸ㍢㙣〵㔳㍥㔰㡥っ㐵㜹扣摤㈳戱㥡ㄸ㌴㔲搷ち㤷户㌷㌵愹㠹换摡摢㤳㝡攳㕤敢㌴㠷ㅡ㈵愱㐸㌶敡㈴㌵换㍡㙢摣㑡慡㐶㤱㡡㍢搶㌶㑡㥡摢戴〱㜷㑡㤱㌷愰㤸㈴捤㘴昴摢㈴愱㈰搰ㅢ改㈸晡散搳挹㈳ㄱ戱愱つ㔰愴㥥ち敢晡愳㤰攰㌱㕣㍢愹㠸㘲昴〴晥摥ㄱㄵ㘷㙡㐱㔳㡢戱㍡ㄴ戵㡣㔷慢㌳づ慣㠴戲攱㔵戶〸㑢㘳㙦愱㠶㤱摣搹慤昶て挱㥢㘰挴㠸つㄹㄶ㐹昱〳㠳つ挱㕣㠹㠸㉡慤戳㝥㠲扡㕥㕤攰搳㜱㘱㌸ㄲ〳㜳㐱㘵㑡慣㐸㌳慣㘱挹て挹〱昵搳愲㤴愳扡㌹扥攰㐳愵〷㤴攳㔱㐹㌲戸㙥㥥愴㕢ち㤷ㄸ㈰㜶愳搲㙣㌹㐰㘸户㍥〱㑦〶㕢〷㍢㠰㐸ㄸ㍡愱㜵㐶〹㥡㑦㈱摣收㑤㤰㜷扡挴㈸〴愹㈹搳扦づ㈹㑦㝣㡤改戹㐳㤹戸㄰㌱ㄱ挳㕤㈹搶〳㤰㥢㡣㑣㤲㡢㠶攲㠰㜹㈸搹愴搰敡㡢敢㘸㘲昴搳攴昳〲摣攲㘱㉣㙢㠰㙣㔳挵㍤户挰㠲㌶慤慥敤㌰㡦㌹攵㙡慤㈲愴㉡㡥㘵戵搴挸㕢〲㕦昲ち㘰挸㑤㈹㜰㠹㠰㜲っ㐷㈹㙥㤹㐸敡摥敥搶て㘱戸ㄴ㜲㤸㈳㔴㝤っ㐰愶戸攵㘴㐰慣敤㥥〲敤挳㥤㡤ぢっ昲昲ㅣ㐴㕡㕢ㄵ㘵搹㌴敥攳搵愳挸㤲摢ㄲ摤愶摤㘹㤷㌶㝢愲敡愸ㄵ㔶㙤〹ㅣ㘱㥦愱挰换攷㘱㡣㜴挹ㅤ㥣㈴㜳㍥㡡敥㥥㝦㐰㍥㘶捥〳ㄵㄲ〳ち㘳扣㍣〵㘵〰㔵㌰ㄲつ㙥戵㘱㜵㉢㡣晥搲昲搶挷㤱㈹っ〳搳愰㐵捦搰挰㤹㐴㜹㘳〳攷㜲昴㑡㠹㤰㈶㠳愹㡣㔱づ挱㘱て愴㠱㥢㜸㤰㥥㜷愱㠴㠲㕤昲㘲㔸㝣㌷㜱挴挶ㄱ挸昵㉥㙡愹㥣㌵〲㕣㝦㜱㜶户㔴㡦㔷㉡㌴㜷攱㥦摢ㄲ㔸挵搵㡤搰ㅣ摤搵㜲㈹㑢敥㠹昶摤㔵㉤つ搱㘵挱晤㔳愳㐷㡤愰扣㌴ㄷ慣㠵ㄷ户扡㈵〹敤㐵昸㈳搶㝤㍢㙤收㥣挳㡢愸㉢㠴㝤昱慣攳㥥㜳攴扡㌴㥦户晥㐰㈱戸㐲搹挳㐵ㄶ㌳慦攱㥦㑣㙡㐶晢㌱㘶摣捣戲㌹㐱挳㐱挲㜹㘴ち愵挱㌰捡㈹㜴〲摢扤㝥㙢㠰㜴戲慢㠵㑥愴㈰搸㈶ㄴ㘷昱㑤㈳ㄴ攵㐷㐰㉢㠹㈵㍣㤲〳收捦㠲昵㤵ㅦ愲㠶〸挷㜳㈴㐶戴㉢㔰㑡㐱㥤ㄴ攴搱ㄵて㕥〸昹晦挱㔲捣捤敢戲搳㝦㠱㤹㤵ㅦ戴愲攸㌲愲攸㠵㌶ㄴ㈹扣〶㈲昹昷㡥愸挰〷㡤攱搹搷ㄵ〸攷㥥戶て愰㙦昹㠵摦晦攱〱㜴ㅡㄸ㘶㤲㌶ㅡ㐲㙤㔷愳㕣㌷ㄱ戲㙤㈶〲㠳昷搲㐴㌸捥㌱㡣攲㠷㈶㐲攴〳㤹㐱挵挶㈶〲㘳㝢㈹㠶㘰㈲搴㥡㜰㙢昰〴㜶㤱㑤晦搸㔱㕣扣ㄵ㍥攲昹㔰㕡晥㈴㍣㔲ㄷ户㔷捦ㅡ㥥㘱敦㤶昵㐷㍣〱㘵收捤攳㈶户ㅣ挲ㄱ㝢搶㙤㤱㠳搶昱㔵挴㕥昶㙤㝦捡收敥慦〳㔳㘱ち摤昷㑡㐱挹扦〱㑦㠹挲㜳㐳收攳扢扥㜳攴捦昷㍤㜴㠸户搵㈲㕡搵慥㐷戹㥢㤰㍤敤〹〴㜵ㄳㄷ㐵㉥攴㠷㌹挷昱㠹㤲戵㕣ㄵㄳ㠶㈷慤㈰㕦户攳㘲㐸㜸〹挲っ㠹㙦㉢㤸㤸戸昷㄰㥡㤸愳㉤敥㑥昹㘱㤳㜴ㄱ㡥㈶ㄶ㉥㝤㝡㜱搸㔰改愸挸扡戴㌶戵敦㐱ㄵ扤捥㠵㌴㕢㠹㍣㜵㌲㈹捡㜷㕢㜵摤〱敡扡昰㈰挳戰㝦㉣愵㄰㝦㈰㠵㈴て㌲扣㄰㈰愵搴㐹ㄴ戴ㅢ㤰愵㐴搶㕡㐳扣昴〷㙣ぢ〱㔱扦昴搷攵㐷㉣㠰㈲戰ㄸ晢攲扢㍤搱搲ㄶ㡤㔵ㄳ㐳戵搲愶㤹㐳㐱ㅥ㕥㔸㌱ㄶ搷捥愳㄰㈷㙤㍦㑡㥢㜶㐷昱㈵晤㜶ㄸ㜸ぢㄹ㕢戳改㙢㉢摡户㍢㌵摣晣㠰㥥挹㑢㠵攱散㘴㌵づ愴㌲㐶ㄷ㜶㉤㠶㔵捣〷挲㘲㝤㔰㙦搴〴㥤攵散挶愹ㄴ挱㍦㝥㈹挴昶㤱挶搴ㄷ戶戶㔰挷㌹㍤搸㈰㝦戰扦㉥㑢㘱㙣扣㤵ㅣ〳〹扢愹㕥㠵昰㝡昸㈹っ攱愶㌳㡡摥㈸捡㘷攵〰晥挴㥣㤵㔵摢昴㍦愳搷㤲戳㑥㜳㌴挳搸㑤晡晦㐳愸搸㔰晦㉢㡣扤㐹㐴㝥㌸㉡㐸攳㤴昱㤳つ㐳㌶㠴〸㍣摢〸摥挸㠳戱㉥㡢っ㜹㠷愵㌹㝣扣ㅡ㌶㑢〹づ扦㔷慥昵㙡㐴㝤㉣㙤摢摥㡥〲㤰戱㈱敤㔹㠸愰㡥攳㥢攵㔶㝣扡捤㝦〴〳㜷ㅤ户捡㥥敢扢㘶㌰㍣㠷愰敦㌰扦㍤㌳㘱昳㡣㉢捦戴ち戵慢〰㠹扥㡦㘱捣㠹ㄹ〸散ㄳ㈲㜸戳㘲㤱㡣㉣㙣㉥㤲挱敦㤰〶ㄳ攱㈵㙡〷晦〲昳慥㥡㔱挵愷慢㌳昰㜵〶慣摡ㄲ捡㉥昴㌸户摥搰㈰攸㜰㐷敢㑥昸㠳㐴㜵ㄴ挱㌱戹㠵㡦㝣㡣㜰㙤㠵㐱㜳摦㘸㙦㍥㝢㜶攷㜳㉢㙡㑦〳愷㥢㝢㑢㌳挹昰㥤晣㈲戹愸㤷㤸攳搲晥㈱晣摤扣㠳㤶戳つ㠱捥愳て扡改〸ㅢ愹挲㝤戶㠹攸昷ㄹっ㔵挶㤹攱愷ㅢ㔱㠱てち扤㝣㘴㐵攵㥢搸ㄶㄹ〰攵㑣扥㡣慣㌳㔵㍦戹ㅥ㔵て摥㠱㌱攴㔷㕤㈰敢捦㉡㍣㙡㤰㉡㡢捡ㄳ攸㑦愸㠵扢㕦㘴ㅤ㡥ㅥ昲㐸㠱戲㥥㤴攴ち㡦ㄴ㜲㍤㕦挵㠰晡㝡敥㐱㙤攷昵㍣扥摥㝡ㄴㅡ〳㜲扦挹昹〷㘳㘵愲摢㝣戵挳捣㘵戶㡣㙣㌰敥㌹㐰㌱挹扤攴挳㔰挳て㠹㈹愴摦㐴㝦㕦㍥昴慢㤷㤸晥㜹㐸㤱㠲ㄱ㑤捤扢愰㘰㤴扢㜸㌴戹ぢㅦ戵㥤㜷昱昹昵㜶㌱㐸㤹㈹愱㕡㐳〱㔰㉤攱㡦摣搵ちち〴㈸㝦捡ㄹ㘶昸㌵慤㘲搰㐰㡤ㅣ扢㡡㐲㝦㔶㈳㘲摥摦㔹扢搰㜸㡣㍦㠵㐵㜰愰改㥢搷摢昱つ敢ㅡ愳摤㔹㝣挲慦㐹㔵㤸㔳摦搷摤㕣戱㌹㑡㑤愶㍤㠲㕤扦㠱㜹戸改㠶捦㤱㌳敥挱慦〰换㤱㘴㈶㐱㜲ㅦち㌱愰㌴㘲㍤攵换㈶㘹ㅣ昲ㄶ㈸ㅤ㔹昹搰ㄳ㥤て㑤㠲㠲ㅤ戹愰户㠴㘰挴㤶昸愹㜰㐷㝤㤶敦昲㝡㠳昲㜰㑣㠵㐷㡦挶㥦㡤愹㔱挰つ㕣㄰㥡攳攴ㅡ〲㔲㜹㈸敥晣晤攷ㅢ晥㘲㌴㈰㠱㔵挲捥攴㉥搹昹㔳㜱攷晤昸㈴㑤昶挹㤰愰㤸㕥㡥㍢㤳ぢ㘵攷㑦挶㥤晦戱㝦㜷扤㜳捣㜴攱捣ㅡ㌹㈲挵搰㤷㐷㥦挴攷改〳攸慥㤹㌴ㅥ㝡捤戰㥡㠴㈸攳收㔵㘹㍥昴攱㈶㡣㠷て挴愷㜱戱ぢ昷㕦愰㘱挲晦㑦挴㌱㕣昸㥡㌲〲〳摦㝦慦㈰搲敥改昲㠹㠳昳收㡣㠷㡡ㅥ昳㤸㡦〳㘵㘵㑢㤱〸㙣愱㕣〸摦つ㈲ㄲ㈹㜶㜳〳ㅥ㜱㠴㔰攵〵㥡敥㌴愷㡣㉡攵㤴〷㘳捣㘶ㅥ㙣搰㡣晥〹㈰〷㍡〱㌹ぢ晡㈷㤱㠷㔱愸㕤慣ㄸ愴戰㤳㤲散㈱㌶㍣捣散搳挸㡡ち㈵ㅢ改㈰晦〸戲㠱昸晦搲㌱扣㈲㥤㐵慡戲ㅡ扦㉣㐹㐶晡㘷㌸攰戳挸戲昰㕤㉢ㄱㄱㄶ昵捦愱㈶昹㔲ちづ昹搲㉦戰攱㔱㘶㕦㐴㔶搴戸搸㑤㐳㡤㝢敡㔲㙤㝦〹㐳ㄵ㠲㠲㜳攸㕦㡥ち㝣㔰〸〷㡡㜳挵挱づ㈹㐳愹㙤ち㙡㕥㈱㙣㘴㠳ㅤ㌵ㅣ㤴つ㡡㐲㜸挹㠶㙡搴㐰㕤愶㍦㡥㑣㈱㍣戸㈷晤㉢㝣㈲ㄸ攴ぢ扦ㅡㄵ攴ぢ〹〳㌹㝣愹攵㠵㠴㡢㙣㔸㙣㜹㈱㘱㈵ㅢ捣攴ぢ扦捥㐹攵挶㔰㘸㔶㔷摣愰㠴昷㌷㔰攸捦づ㜰㙤㜷攳愷慥㉡攵㌳㤵㌳㘷㕥ㄹ挸つ敦挹㝤攸㠳㝤㕦㝢昹㤷㝦㜹散㜷ㅦ㍤昸昷㔷㥦㝣昲㜷㝦㝤散愵㔷㕦㕣㌸昸昳愷㥦晥搹ㅤ摦㝡改㉦㍢捤愷搴攷㕦㤹㝥敡晥戱戳昷摦㙢㥥扡晥挸晤ㅦ扥攷慥戱搹ぢ㐶戲搹㥥㥥㙢㠷㝥㜱挹㜵㠳て摥晢〳攵㈷㝦扣搸㔱攴㜶昱㠲收㘵㜰摢㜲ㄹ摦㐲〱换攰㡡摦搲㘵㜰扢ㄲ㔰㘷㈲㐰㑤愰㠲㉡㡣ぢ㤰つ愵收㠶摥晦〰愰㡡扥〹</t>
  </si>
  <si>
    <t>Decisioneering:7.0.0.0</t>
  </si>
  <si>
    <t>7be94c23-57cf-4dbd-9d6c-d7ad4ffa704c</t>
  </si>
  <si>
    <t>CB_Block_7.0.0.0:1</t>
  </si>
  <si>
    <t>Assumptions</t>
  </si>
  <si>
    <t>Worksheet: [Formatted_Assembly_Line_Sim.xlsx]1.0_1. tán_co_terminal</t>
  </si>
  <si>
    <t>Assumption: Data Series 1</t>
  </si>
  <si>
    <t>Pareto distribution with parameters:</t>
  </si>
  <si>
    <t>Location</t>
  </si>
  <si>
    <t>Shape</t>
  </si>
  <si>
    <t>Trials</t>
  </si>
  <si>
    <t>Base Case</t>
  </si>
  <si>
    <t>Mean</t>
  </si>
  <si>
    <t>Median</t>
  </si>
  <si>
    <t>Mode</t>
  </si>
  <si>
    <t>Standard Deviation</t>
  </si>
  <si>
    <t>Variance</t>
  </si>
  <si>
    <t>Skewness</t>
  </si>
  <si>
    <t>Kurtosis</t>
  </si>
  <si>
    <t>Coeff. of Variation</t>
  </si>
  <si>
    <t>Minimum</t>
  </si>
  <si>
    <t>Maximum</t>
  </si>
  <si>
    <t>Mean Std. Error</t>
  </si>
  <si>
    <t>End of Assumptions</t>
  </si>
  <si>
    <t>㜸〱敤㕣㕢㙣ㅣ㔷ㄹ摥㤹摤㔹敦慣敤搸㡤搳㑢搲㥢㝢㠷㍡戸㜱摡昴〶㈱昸搲㕣㕡㈷㜶㘳㈷〵ㄵ戴ㄹ敦㥥戱愷搹㤹㜱㘷㘶ㅤ扢㔴愲㐰㕢挴扤ㄴ㤵慡愵搰慡㐲㤵㜸攱㈲㈱㘸㠱ㄷ㈴㈴㄰㉡㠲〷㜸㐰攲愱㔴〸ㅥ㐰㈸ㄲ㉦㍣㈰㤵敦㍢㌳戳㍢扢敢ㅤ扢摢ㄶ㕣攴㤳敥昱㤹㜳㥢㜳晥晢昹晦㌳捤㈸㤹㑣收つ㈴晥㘵捡戱㜰搹摣㥡ㅦ〸㝢㜴搲慤㔶㐵㌹戰㕣挷ㅦㅤ昷㍣㘳㙤摡昲㠳㉣㍡攴㑢ㄶ摡㝤慤攴㕢て㠹㐲㘹㐵㜸㍥㍡㘹㤹㑣愱愰慢㘸攷㈴晣つ挶て㍡㐷昵攵㤰捤㑦㑥捣㉣㍣㠰㔹攷〲搷ㄳ㝢㠷㑦㠷㘳て㡥㡤㡤㡥㡤摥㜲摢搸慤愳晢昶づ㑦搶慡㐱捤ㄳ〷ㅤ㔱ぢ㍣愳扡㜷㜸戶戶㔰戵捡昷㠸戵㜹昷慣㜰づ㡡㠵㝤㌷㉦ㄸ户摣㍥㜶换㠱〳收ㅤ㜷摣摥㠷㔷㘷㑥㑣㑥捣㝡挲昴摦愶㌹㌵㉥昹㤶㈹㔱戶戸㌷㈱㍣换㔹ㅣ㥤㥣挰㝦㠹昵攳改戶搱戹㈵㈱〲扥㕡㜸挲㈹ぢ㕦挷挰㕥㝢摣昷㙢昶㌲㠱愷摢㠷戱搵戲攱〷㥡㍤㈹慡㔵摤㡥㘷㉤搸㌳㠰㕤搵㔸敢戳攷㠴攳㕢㠱戵㘲〵㙢㜹㝢ㅥㄳ㔵晡敤㔳扥㌸㘹㌸㡢攲㠴㘱ぢ捤㍥㔲戳㉡戹㌰㘵戲㌷挴㔳㈴ㄷ㈶户㍦㍡敥摢㤳㑢㠶㈷㔷攴ㄳ㌰㈹㝤て㝢攵收扥搷㜴㥥㤷㑢㤷㙦攰㥣搷㜵敥㠷㤶搳㠶㔷敦㌹搲戹㘷戴昹收ㄵ摣搴戹㝦〲㐶捤㘳摥摢㜹㡣〴㘵㜳㙦愵㌷愲㙦〹㔱㙣㐶捦㌳敢㘱㔶㘰㐶〴敡㐵㘶扤捣晡㤰㈹戹㝦㠲㑢㤲〳搹愴㤶っ戵戴愰㤶捡㙡愹愲㤶㠴㕡㌲搵搲愲㕡㕡㔲㑢㤶㕡㝡㐰㉤㥤㐵㥦㌸ㄵ㝡㝡搴㈸晤昳昶ㅦ摣㔹㍥㜱㘴晡慢扦㜹扣攷晣ㄳ㡦㤸㝤㍢搰改摥㘸㔱㔳㥥㜱づ愴搶愰攲晤愳晢昸㙦㘳慥〰㔳㤸〷捣摢捣戱戱捡㠱㝤挶捤㠶挶㙤愵㈰扦㠹㔰〶搱户捦扣捦㜲㉡敥㌹㠹扢换㈶っ㕦㌴〰㌷ㄲ戵㑤戸㌵愷攲㕦扡㝥攳㕣㘰〴㘲㑦㙢㕢㘳㤲戶㘱㜳㘰㉢攱换昷㕤搱㍡散戴㔱慤㠹昱㔵㉢㙣扥扣愵搹㥥昵摣㠵捥慤㠷㍤昱㘰扤戵㙤㐵攳㄰㙡㉢㜲敥戶㕤㠶㑤攱扡㠶㈷㤷㕣㕦㌸㜲㜹㈳昶慣㔵㍥㉢扣㌹㐱㤱㈸㉡㜲慢ㄷ戲㈹攲晡㤱ㄹ〷ㅢ〵户㔶慥㑥搶㥡㜷慤〶㘰㘶㔱挱㝡㤷㠵ㄷ慣捤ㅢぢ㔵㜱㔱㔳㤷昰㥤㘸搸摤㔴㝤搸㉤搷晣㐹搷〹㍣户摡摣㌲㕥㔹㌱㈰㘹㉡挷摤㡡挸攵㌲㔲㈸㐰攰㘶戳㡡㤲戹戱㌳㉦㐸㐴㈴㔰㑣㐶扥愴㤹散㐶㑦㘲㜷搸㐵㔵㤰㈶搵㙢㌷㤸㡣敢㤵㌲㈶㠵〳ㄳ㝢愲晥攰㑢摦戳挱戴㜵捣扤戳㥤㔵㜵㈸摡晤㕤㉢挲〹㡥ㅡ㑥愵㉡扣㔴敤愷㜰㐵晡〰㌲敤㍣〴㐲㐷攸㔱搵㈹慢捡㥡㜶捥慡〴㑢昹㈵㘱㉤㉥〵愸㠳㠶㉣ㄴ〸摡戶愴㕦㠰㉡㝤㈷戳㈱㘴挵㘲㈶扦㡢㥤昲㐵愴㡣㐶改㤴挲换㑤㠲㥣攳㥡㜸戹捦㍣㙣㔵〳ㄱち攵〱ㄳㄸ〹戵㥡㐴㕦㍦㐹搴㌳捡愱挲搸㘵㑥㠲㑡つ换〹搶ㅡ㝣摢挶㈵㈱ㄱ㙤换㠲㉤㈷ぢ㈸ち㥡攵㐱ち慦㠱㘸㕡愴㐱㝡攷〴ㄱ㤱つ㔲㌴㍢㘶㙥㈶㌲昶㑦㤱ㄱ攸㥦㈴㐲昶摥搷㔹㐶㤰搸摢㠹㤴㠳㍡昲攳戶㌴㕢捦㤶て愵搹㠵〰㥣㝥ㄱ戳㡢㤹㕤挲㙣㌷㌲攵㉦㤰㜰㤴㜲㈸㌷㈷晤㔲㍣敢㤷㌱扢ㅣㄹ攴㤳㑥㤹ㄳ㠹㉡摡㔰㥢戱㈳搹慦ㅦ㜶戲㌴㡡㐳㔱㐴换戸㙥㘷昶摢ㄲ搱㤱搵戹㌵㜴㙤㑥敡搸敢㍢搳㘶㜲㍢愴挸㤴慥挹扤㙥搰㌵〹〸㜶敤㔲㙦㕤㠹愱晡㌰戳慢㤰ㄵ昵慢㤹㐳戹搰攰摤㥣㐵㑦㤳昲㕤㘱ㄶ㠵挶㔰㤷ち㍥㈲㘴ㅥ〱㔲㠴㕣摢昱㘵摢㠶愶㌹㌸㘲扥敢㙤攸扤㥤昹㍢㐲㝡㡢摥摣搶㍢昴ㄷ扤㐹㉢晡ㅡ戰㤷昲挷㡥㍡收㍡㌴敢搷㌳扢〱㔹㡢㡥攱改晢捤㝡ち愴㔹㙣㈷㌰户㤳㕥ㄷ㘹攵捥慦㉤ぢ愹㠱晡捣㜹挳㕢ㄴ〱㍣ㄸ挷愶㘰ぢ扢㥥㈷慡㌸搴㔶㘴〵捦㉦ㄷ㌷㔷晡㠷㍤搷㘶晤戶㡤散扦㉢ㄴ㐳㉥愷㘶㌳㉤㌶㜲㡡慤㤹昰㌹㈵㈸㠷㍡昸收捥㐲㈲㌱愸㤹扣㌸㉥晤㝣戹㉤㐹扡㤰㈴敦〵㔸昵ㅢ㤱㐱㑡㈸扦敦㈸㔱昶戲摢晢㘴户㘶㡢㤵ㅥ扥㤴搳㐹㡢て戱㑤㡥昴㠶づ摢〹昸て晣㝥㝢捥戲敢挲愲搷㥥ㄵ㕥ㄹ扥〵慢㉡㡡愱㕢㤶愲㘶㕢㔶扣㑢㘴㐵㌶摢㜶㥥㑥昱慦㐹㍡㘹㤱ㄲ愹摣㥥摡㤸㜲ㄶ㙦㄰ㄵ摤㤰ㄴ㉡㈹慥愱扡〴㈲攵戱敦戶㠸改㐲挴摣〴挰改晢㤸㡤㌱摢㡦㑣晢㌵㈴捤㘶〱捦㜰㔸捦ち㕤摡愵㔲愶㐰㌴㐸ㄷ攱慢ㅤ㠵搵〱扥收㔶㘶户㈱㙢㌱㝦攸㠰㑣㈱㐴㠹昲〴㈱捡㌰㠶㜹摡ㄲ攷㐸〳㍢㑣〴㤶㈶㙢㝥攰摡㡣㉣昵㥢㔳敥〹㌷㤸戲晣㘵㐴愲㠶捣愸㜰摦㤲㜰㐰㕤ㅥ㙣㥦㤶㍡㜷㜹㔹㔴㜴㜳捥慤㐱戴ㅤ㥢摡ち〷㜳㠰〳戶愴㍣㥢慢ち㔲㜷攷㘳㑣愱〰搲搲摦㑡㙦散愶扣摦㍣昴つ㌴㈰㍡㙦〵㔵搱㙢㠶㑣挷㜲挱〴ㄴㄱ㌹愸昴㤸昳㑢㥥㄰㔳晤收ㄱ捦慡㔴㉤㐷㄰ㄹ戰㌱ㄹ慣㥢ㄶ㡢㠸ㄲ捣扡㡣〱扡㑥扦㌹敦ㄹ㡥扦㙣㌰愰戸戶戳改㐹㠶㐵㌴㜳挲㜲㝣扣㐶㘲㤱攵〱㜳㙥挹㍤㠷㠸㙤捤㜶㡥ㄸ换晥㤶挰ち㠹㍥㑣ㄲ㌵㡡慡愸慡㔲㔰ぢ摤攲㠷〷昲㑣㠶扣㤷㘳㈶㜱㤵搱攸㌳㑦搱摥戴敢愳ㄸつ敤㜴慥愹て搱愳㝡㘵㌶㔵ち㤳㔳昵㍢㌸收㑥㘴㜷ㅦ㌹㜵慣ㄱ㤹㝢㑢㌱㙢㡤㕥晥ㄴㄹ㉦挹愲ㅥ〸愱㡦㙥㐷㐸㉡慣㈳攵㠰〳㠱㜱㍥戵㤲㕦搱㤴㝤㐸㝤㍢ㅡ挵挳㠸㈴昵㤹搳挶㠲愸㈲ㅥ㙤ㅢ挱㡥昰㠱㘶慣㙤㔴晤愸㙤搲戵㙤㠳愴㐵戲㥣㉢ㅢ愴攰昱㕡攰ㅥ户ㅣ摤㐴㈶改㉦慡㌲㔶㔱㘵慣捡慡㍥昳㈴㐳㠳戲捣戹摣㐵挳戳㠲㈵摢㉡ㄷ昸挰昰摤㤶愰㐹㌰㌹㈵㙦㥣㘲㤹㌱摣㘲捤㥦㠲挹收㡦〲摤愳㤰愳〴ㅤ搱て捡㔵㤵㍣晥㈹㕤㍡㤶㈰㘰愴愷㔴晦〰㘶搳攴敤〸㠸ㅣ㤹捥挷㜷㌰捥㝦〲㌵愱㄰㈲搶㔳㐸〴㕥挱㠴㤰愷㡢㍢㙦㥥㜲慣〰搸㈳挶づ㕢挱㤴て㤴㈳㐳㔱ㅥ㙦昷㐸慣㈶〶㡤搴戵挲㤵敤㑤㑤㙡攲㡡昶昶愴摥戸㜶㥤收㔰愳㈴ㄴ挹㐶㥤愴㘶㔹㘷㡤㕢㐹搵㈸㔲㜱挷摡㐶㐹㜳㥢㌶攰㑥㈹昲ㄶㄴ㤳愴㤹㡣晥㐱㐹㈸〸昴㐶㍡㡡㍥晢㜴昲㐸㐴㙣㘸〳ㄴ愹愷挲扡晥㈸㈴㜸っ搷㑥㉡愲ㄸ㍤㠱扦㜷㐴挵㤹㕡搰搴㘲慣づ㐵㉤攳搵敡㡣〳㉢愱㙣㜸㤵㉤挲搲搸㕢愸㘱㈴㜷㜶慢晤㐳昰㈶ㄸ㌱㘲㐳㠶㐵㔲晣挰㘰㐳㌰㔷㈲愲㑡敢慣㥦愰慥㔷ㄷ昸㜴㕣ㄸ㡥挴挰㕣㔰㤹ㄲ㉢搲っ㙢㔸昲㐳㜲㐰晤戴㈸攵愸㙥㡥㉦昸㔰改〱攵㜸㔴㤲っ慥㥢㈷改㤶挲㈵〶㠸摤愸㌴㕢づ㄰摡慤㑦挰㤳挱搶挱づ㈰ㄲ㠶㑥㘸㥤㔱㠲收㔳〸户㜹ㄳ攴㥤㉥㌱ち㐱㙡捡昴㡦㐳捡戳捦㌰㝤晢㔰㈶㉥㐴㑣挴㜰㔷㡡昵〰攴㈶㈳㤳攴愲愱㌸㘰ㅥ㑡㌶㈹戴晡攲㍡㥡ㄸ晤㌴昹扣〰户㜸ㄸ换ㅡ㈰摢㔴㜱捦㉤戰愰㑤慢㙢㍢捣㘳㑥戹㕡慢〸愹㡡㘳㔹㉤㌵昲㤶挰㤷扣〲ㄸ㜲㔳ち㕣㈲愰ㅣ挳㔱㡡㕢㈶㤲扡户扢昵㐳ㄸ㉥㠵ㅣ收〸㔵ㅦ〳㤰㈹㙥㌹ㄹ㄰㙢扢愷㐰晢㜰㘷攳〲㠳扣㍣〷㤱搶㔶㐵㔹㌶㡤晢㜸昵㈸戲攴戶㐴户㘹㜷摡愵捤㥥愸㍡㙡㠵㔵㕢〲㐷搸㘷㈸昰昲㜹ㄸ㈳㕤㜲〷㈷挹㥣㡦愲扢攷㍦㈱ㅦ㌳攷㠱ち㠹〱㠵㌱㕥㥥㠲㌲㠰㉡ㄸ㠹〶户摡戰扡ㄵ㐶㝦㘹㜹敢攳挸ㄴ㠶㠱㘹搰愲㘷㘸攰㑣愲扣戱㠱㜳㈵㝡愵㐴㐸㤳挱㔴挶㈸㠷攰戰〷搲挰㑤㍣㐸捦扢㔰㐲挱㉥㜹㌱㉣扥㥢㌸㘲攳〸攴㝡ㄷ戵㔴捥ㅡ〱慥扦㌸扢㕢慡挷㉢ㄵ㥡扢昰捦㙤〹慣攲敡㐶㘸㡥敥㙡戹㤴㈵昷㐴晢敥㥡㤶㠶攸戲攰晥愹搱愳㐶㔰㕥㥡ぢ搶挲㡢㕢摤㤲㠴昶㔳昸㈳搶㝤㍢㙤收㥣挳㡢愸㉢㠴㝤昱慣攳㥥㜳攴扡㌴㥦户晥㐰㈱戸㐲搹挳㐵ㄶ㌳㙦攰㥦㑣㙡㐶晢〹㘶摣捣戲㌹㐱挳㐱挲㜹㘴ち愵挱㌰捡㈹㜴〲摢扤㝥㙢㠰㜴戲慢㠵㑥愴㈰搸㈶ㄴ㘷昱㙤㈳ㄴ攵挷㐰㉢㠹㈵㍣㤲〳收㉦㠱昵㤵㔷㔰㐳㠴攳㌹ㄲ㈳摡㔵㈸愵愰㑥ち昲攸㡡〷㉦㠴晣晦㘰㈹收收㜵搹改扦挰捣捡换慤㈸扡㠲㈸晡㔱ㅢ㡡ㄴ㕥〳㤱晣㝢㜷㔴攰㠳挶昰散㥢ち㠴㜳㑦摢〷搰㜷晣挲敦晦昰〰㍡つっ㌳㐹ㅢつ愱戶敢㔰慥㥢〸搹㌶ㄳ㠱挱㝢㘹㈲ㅣ攷ㄸ㐶昱㐳ㄳ㈱昲㠱捣愰㘲㘳ㄳ㠱戱扤ㄴ㐳㌰ㄱ㙡㑤戸㌵㜸〲扢挸愶㝦散㈸㉥摥ちㅦ昱㝣㈸㉤㝦ㄲㅥ愹㡢摢慢㘷つ捦戰㜷换晡㈳㥥㠰㌲昳收㜱㤳㕢づ攱㠸㍤敢戶挸㐱敢昸㉡㘲㉦晢戶㍦㘵㜳昷搷㠱愹㌰㠵敥㝢愵愰攴摦㠲愷㐴攱戹㈱昳昱㕤摦㌹昲愷㠷ㅥ㍤挴摢㙡ㄱ慤㙡㌷愲摣㑤挸㥥昶〴㠲扡㠹㡢㈲ㄷ昲挳㥣攳昸㐴挹㕡慥㡡〹挳㤳㔶㤰慦摢㜱㌱㈴扣〴㘱㠶挴户ㄵ㑣㑣摣㝢〸㑤捣搱ㄶ㜷愷晣戰㐹扡〸㐷ㄳぢ㤷㍥扤㌸㙣愸㜴㔴㘴㕤㕡㥢摡昷愰㡡摥攴㐲㥡慤㐴㥥㍡㤹ㄴ攵扢慤扡敥〰㜵㕤㜸㤰㘱搸㍦㤶㔲㠸㍦㤰㐲㤲〷ㄹ㕥〸㤰㔲敡㈴ち摡㑤挸㔲㈲㙢慤㈱㕥晡〳戶㠵㠰愸㕦晡敢昲㈳ㄶ㐰ㄱ㔸㡣㝤昱摤㥥㘸㘹㡢挶慡㠹愱㕡㘹搳捣愱㈰て㉦慣ㄸ㡢㙢攷㔱㠸㤳戶ㅦ愵㑤扢愳昸㤲㝥㍢っ扣㠵㡣慤搹昴戵ㄵ敤扢㥣ㅡ㙥㝥㐰捦攴愵挲㜰㜶戲ㅡ〷㔲ㄹ愳ぢ扢ㄶ挳㉡收〳㘱戱㍥愸㌷㙡㠲捥㜲㜶攳㔴㡡攰ㅦ扦ㄴ㘲晢㐸㘳敡ぢ㕢㕢愸攳㥣ㅥ㙣㤰㍦搸㕦㔷愴㌰㌶摥㑡㡥㠱㠴摤㔴慦㐲㜸㍤晣ㄴ㠶㜰搳ㄹ㐵㙦ㄴ攵戳㜲〰㝦㘲捥捡慡㙤晡㥦搱㙢挹㔹愷㌹㥡㘱散㈶晤晦㘱㔴㙣愸晦ㄵ挶摥㈴㈲㍦ㄲㄵ愴㜱捡昸挹㠶㈱ㅢ㐲〴㥥㙤〴㙦攴挱㔸㤷㐵㠶扣挳搲ㅣ㍥㕥つ㥢愵〴㠷摦㉢搷㝡㌵愲㍥㤶戶㙤㙦㐷〱挸搸㤰昶ㄲ㐴㔰挷昱捤㜲㉢㍥摤收敦挷挰㕤挷慤戲攷晡慥ㄹっ捦㈱攸㍢捣㙦捦㑣搸㍣攳捡户㕡㠵摡㌵㠰㐴摦挷㌰收挴っ〴昶〹ㄱ扣㕤戱㐸㐶ㄶ㌶ㄷ挹攰㜷㐸㠳㠹昰ㄲ戵㠳㝦㠱㜹㙦捤愸攲搳搵ㄹ昸㍡〳㔶㙤〹㘵ㄷ㝡㥣㕢㙦㘸㄰㜴戸愳㜵て晣㐱愲㍡㡡攰㤸摣挲晤ㅦ㈳㕣㕢㘱搰摣㌷摡㥢捦㥥摤昹摣㡡摡㡢挰改收摥搲㑣㌲㝣㈷扦㐸㉥敡㈵收戸戴㝦〸㝦㌷敦愰攵㙣㐳愰昳攸㠳㙥㍡挲㐶慡㜰㥦㙤㈲晡㝤〶㐳㤵㜱㘶昸改㐶㔴攰㠳㐲㉦ㅦ㔹㔱昹㈶戶㐵〶㐰㌹㤳㉦㈳敢㑣搵捦慤㐷搵㠳㜷㘳っ昹㔵ㄷ挸晡戳ち㡦ㅡ愴捡愲昲㉣晡ㄳ㙡攱敥ㄷ㔹㠷愳㠷㍣㔲愰慣㈷㈵戹挲㈳㠵㕣捦搳ㄸ㔰㕦捦〳愸敤扣㥥愷搶㕢㡦㐲㘳㐰敥㌷㌹晦㘰慣㑣㜴㥢慦㜶㤸戹捣㤶㤱つ挶㍤〷㈸㈶戹㤷㝣ㄸ㙡㜸㠵㤸㐲晡㙤昴昷戵㐳扦㝥㤵改敦㠷ㄴ㈹ㄸ搱搴扣ぢち㐶戹㡢㉦㈵㜷攱愳戶昳㉥扥戰摥㉥〶㈹㌳㈵㔴㙢㈸〰慡㈵晣㤱扢㕡㐱㠱〰攵㑦㌹挳っ扦愶㔵っㅡ愸㤱㘳㔷㔱攸捦㙡㐴捣晢㍢㙢ㄷㅡ㡦昱愷戰〸づ㌴㝤昳㝡ㄷ扥㘱㕤㘳戴㍢㡢㑦昸㌵愹ち㜳敡㥤摤捤ㄵ㥢愳搴㘴摡㘷戰敢户㌰て㌷摤昰㌹㜲挶㍤昸ㄵ㘰㌹㤲捣㈴㐸ㅥ㐲㈱〶㤴㐶慣愷㝣搹㈴㡤㐳摥〲愵㈳㉢ㅦ㝡愲昳愱㐹㔰戰㈳ㄷ昴㤶㄰㡣搸ㄲ㍦ㄵ敥愸捦昲㕤㕥㙦㔰ㅥ㡢愹昰攸搱昸戳㌱㌵ち戸㠱ぢ㐲㜳㥣㕣㐳㐰㉡㡦挶㥤扦晦挳㠶扦ㄸつ㐸㘰㤵戰㌳戹㑢㜶晥㜴摣㜹㍦㍥㐹㤳㝤㌲㈴㈸愶搷攲捥攴㐲搹昹㔳㜱攷扦敤摦㕤敦ㅣ㌳㕤㌸戳㐶㡥㐸㌱昴攵搱㈷昱㜹晡〰扡㙢㈶㡤㠷㕥㌳慣㈶㈱捡戸㜹㔵㥡て㝤戸〹攳攱〳昱㘹㕣散挲晤ㄷ㘸㤸昰晦ㄳ㜱っㄷ扥愶㡣挰挰昷摦㉢㠸戴㝢扡㝣攲攰扣㌹攳愱愲挷㍣收攳㐰㔹搹㔲㈴〲㕢㈸ㄷ挲㜷㠳㠸㐴㡡摤摣㠰㐷ㅣ㈱㔴㜹㠱愶㍢捤㈹愳㑡㌹攵㤱ㄸ戳㤹㐷ㅡ㌴愳㝦ㄲ挸㠱㑥㐰捥㠲晥㈹攴㘱ㄴ㙡ㄷ㉢〶㈹散愴㈴㝢㤴つ㡦㌱㝢ㅣ㔹㔱愱㘴㈳ㅤ攴㍦㠳㙣㈰晥扦㜴っ慦㐸㘷㤱慡慣挶㉦㑢㤲㤱晥㔹づ昸ㅣ戲㉣㝣搷㑡㐴㠴㐵晤昳愸㐹扥㤴㠲㐳扥昴㡢㙣昸ㄲ戳㉦㈳㉢㙡㕣散愶愱挶㍤㜵愹戶㥦挰㔰㠵愰攰ㅣ晡㔷愲〲ㅦㄴ挲㠱攲㕣㜱戰㐳捡㔰㙡㥢㠲㥡㔷〸ㅢ搹㘰㐷つ〷㘵㠳愲㄰㕥戲愱ㅡ㌵㔰㤷改㑦㈱㔳〸て敥㐹晦ㅡ㥦〸〶昹挲愷愳㠲㝣㈱㘱㈰㠷㉦戵扣㤰㜰㤱つ㡢㉤㉦㈴慣㘴㠳㤹㝣攱搷㌹愹摣ㄸち捤敡㡡ㅢ㤴昰晥〶ち晤搹〱慥敤㍥晣搴㔵愵㝣愶㜲收捣扦〶㜲挳㝢㜲ㅦ晥㔰摦㌳慦晤敡昵㈷㝦昷搱㠳㝦晤昷㜳捦晤敥捦㑦扥晡敦㥦㉥ㅣ晣挵㡢㉦晥晣敥攷㕦㝤㝤愷昹㠲晡挳㝦㑤扦昰昰搸搹㠷ㅦ㌴㑦摤㜸攴攱㡦㍣㜰敦搸散〵㈳搹㙣㑦捦つ㐳扦扣攴㍤㠳㡦㍣昸戲昲戳㍦㕣散㈸㜲扢㜸㐱昳㌲戸㙤戹㡣攷㔱挰㌲戸攲㜷㜴ㄹ摣慥〴搴㤹〸㔰ㄳ愸愰ち攳〲㘴㐳愹戹愱昷㍦ㅢ摡扣㍦</t>
  </si>
  <si>
    <t>5eb38606-0ccd-4346-abc9-441a780fcb7f</t>
  </si>
  <si>
    <t>㜸〱敤㕣㕢㙣ㅣ㔷ㄹ摥㤹摤㔹敦慣敤搸㡤搳愶〹愵㜵ㅢ摡㐲ㅤ摣㌸㙤㕡ち㠴攰㑢㜳挳㠹摤搸㐹戹㔵㥢昱敥ㄹ㝢㤲㥤ㄹ㜷㘶搶戱㑢ㄱ〵ちㄵㄴち㔴㉡ㄵ㔰㉥慡㔰㈵㕥戸扣〰〵㠴㠴㠴挴㐵㐵攲〱ㅥ㤰㜸㈸〸挱〳ㄷ㐵攲愵て㤵捡昷㥤㤹搹㥤摤昵㡥摤㙤ぢ㉥昲㐹昷昸捣戹捤㌹晦晤晣晦㤹㘶㤴㑣㈶昳ㄲㄲ晦㌲攵㔸戸㘶㙥捤て㠴㍤㍡改㔶慢愲ㅣ㔸慥攳㡦㡥㝢㥥戱㌶㙤昹㐱ㄶㅤ昲㈵ぢ敤扥㔶昲慤〷㐴愱戴㈲㍣ㅦ㥤戴㑣愶㔰搰㔵戴㜳ㄲ晥〶攳〷㥤愳晡㜲挸收㈷㈷㘶ㄶ㉥㘰搶戹挰昵挴晥攱㜳攱搸挳㘳㘳愳㘳愳户摦㌹㜶挷攸㠱晤挳㤳戵㙡㔰昳挴㘱㐷搴〲捦愸敥ㅦ㥥慤㉤㔴慤昲㝢挴摡扣㝢㔱㌸㠷挵挲㠱摢ㄶ㡣摢摦㌶㜶晢愱㐳收㕤㜷扤慤て慦捥㥣㥥㥣㤸昵㠴改扦㑡㜳㙡㕣昲敤㔳愲㙣㜱㙦㐲㜸㤶戳㌸㍡㌹㠱晦ㄲ敢挷搳㥤愳㜳㑢㐲〴㝣戵昰㠴㔳ㄶ扥㡥㠱扤昶戸敦搷散㘵〲㑦户㡦㘲慢㘵挳て㌴㝢㔲㔴慢扡ㅤ捦㕡戰㘷〰扢慡戱搶㘷捦〹挷户〲㙢挵ち搶昲昶㍣㈶慡昴摢㘷㝤㜱挶㜰ㄶ挵㘹挳ㄶ㥡㝤慣㘶㔵㜲㘱捡㘴㙦㡥愷㐸㉥㑣㙥㝦㜴摣户㈷㤷っ㑦慥挸㈷㘰㔲晡ㅥ昵捡捤㝤昷㜵㥥㤷㑢㤷㙦攰㥣㌷㜶敥㠷㤶㜳㠶㔷敦㌹搲戹㘷戴昹收ㄵ摣摡戹㝦〲㐶捤㘳摥搲㜹㡣〴㘵㜳㙦愵㌷愲㙦〹㔱㙣㐶捦㌳敢㘱㔶㘰㐶〴敡㐵㘶扤捣晡㤰㈹戹㝦㠳㑢㤲〳搹愴㤶っ戵戴愰㤶捡㙡愹愲㤶㠴㕡㌲搵搲愲㕡㕡㔲㑢㤶㕡扡愰㤶㉥愲㑦㥣ち㍤㍤㙡㤴づ㝤昸ㄷ扦㝡㜱攱搱搳摦㝡昶㑣昰晥ㅦ晣昳愷㝤㍢搰改㥥㘸㔱㔳㥥㜱〹愴搶愰攲㠳愳〷昸㙦㘳慥〰㔳㤸㠷捣㍢捤戱戱捡愱〳挶㙤㠶挶㙤愵㈰扦㠹㔰〶搱户捦扣搷㜲㉡敥㈵㠹扢㙢㈶っ㕦㌴〰㌷ㄲ戵㑤戸㌵愷攲扦㘱晤挶戹挰〸挴摥搶戶挶㈴㙤挳收挰㔶挲㤷敦扢戶㜵搸㌹愳㕡ㄳ攳慢㔶搸晣挶㤶㘶㝢搶㜳ㄷ㍡户ㅥ昵挴晤昵搶戶ㄵ㡤㐳愸慤挸戹摢㜶ㄹ㌶㠵敢ㅡ㥥㕣㜲㝤攱挸攵㡤搸戳㔶昹愲昰收〴㐵愲愸挸慤㕥挹愶㠸敢㐷㘶ㅣ㙣ㄴ摣㕡戹㈱㔹㙢摥扤ㅡ㠰㤹㐵〵敢㕤ㄶ㕥戰㌶㙦㉣㔴挵㔵㑤㕤挲㜷愲㘱㑦㔳昵㔱户㕣昳㈷㕤㈷昰摣㙡㜳换㜸㘵挵㠰愴愹㥣㜲㉢㈲㤷换㐸愱〰㠱㥢捤㉡㑡收㤶捥扣㈰ㄱ㤱㐰㌱ㄹ昹敡㘶戲ㅢ㍤㠳摤㘱ㄷ㔵㐱㥡㔴摦戴挱㘴㕣慦㤴㌱㈹ㅣ㤸搸ㄳ昵〷㕦晡收つ愶慤㘳敥戵敤慣慡㐳搱敥敦㕥ㄱ㑥㜰摣㜰㉡㔵攱愵㙡㍦㠵㉢搲〷㤰㘹㤷㈱㄰㍡㐲㡦慡㑥㔹㔵搶戴㑢㔶㈵㔸捡㉦〹㙢㜱㈹㐰ㅤ㌴㘴愱㐰搰戶㈵晤ち㔴改㍢㤹つ㈱㉢ㄶ㌳昹㕤散㤴㉦㈲㘵㌴㑡愷ㄴ㕥㙥ㄲ攴ㅣ搷挴换㝤收㔱慢ㅡ㠸㔰㈸て㤸挰㐸愸搵㈴晡晡㐹愲㥥㔱づㄵ挶㉥㜳ㄲ㔴㙡㔸㑥戰搶攰摢㌶㉥〹㠹㘸㕢ㄶ㙣㌹㔹㐰㔱搰㉣て㔲㜸つ㐴搳㈲つ搲㍢㈷㠸㠸㙣㤰愲搹㌱㜳㌳㤱戱㝦㡡㡣㐰晦㈴ㄱ戲昷㠱捥㌲㠲挴摥㑥愴ㅣ搴㤱ㅦ户愵搹㝡戶㝣㈸捤慥〴攰昴慢㤸敤㘶㜶㌵戳㍤挸㤴扦㐲挲㔱捡愱摣㥣昴㌷攰㔹扦㠶搹ㅢ㤱㐱㍥改㤴㌹㤱愸愲つ戵ㄹ㍢㤲晤晡㘱㈷㑢愳㌸ㄴ㐵戴㡣敢㜶㘶扦㉤ㄱㅤ㔹㥤㕢㐳搷收愴㡥扤愹㌳㙤㈶户㐳㡡㑣改㥡摣敢〶㕤㤳㠰㘰搷㉥昵搶㜵ㄸ慡て㌳扢ㅥ㔹㔱扦㠱㌹㤴ぢつ摥捤㔹昴㌴㈹㕦ㄷ㘶㔱㘸っ㜵愹攰㈳㐲收ㄱ㈰㐵挸戵ㅤ㕦戶㙤㘸㥡㠳㈳收敢摥㠶摥摦㤹扦㈳愴户攸捤㙤扤㐳㝦搱换戴愲昷㠱扤㤴㍦㜶搴㌱㌷愲㔹扦㠹搹捤挸㕡㜴っ㑦摦㉦搷㔳㈰捤㘲㍢㠱戹㥤昴扡㐸㉢㜷㝥㙤㔹㐸つ搴㘷捥ㅢ摥愲〸攰挱㌸㌱〵㕢搸昵㍣㔱挵愱戶㈲㉢㜸㝥搹摤㕣改ㅦ昵㕣㥢昵摢㌶戲晦扡㔰っ戹㥣㥡捤戴搸挸㈹戶㘶挲攷㤴愰ㅣ敡攰摢㍡ぢ㠹挴愰㘶昲攲戸昴昳攵戶㈴改㐲㤲扣〵㘰搵㙦㐱〶㈹愱晣扥愳㐴搹捦㙥㙦㤵摤㥡㉤㔶㝡昸㔲㑥㈷㉤㍥挴㌶㌹搲ㅢ㍡㙣㈷攰㍦昰晢敤㌹换慥ぢ㡢㕥㝢㔶㜸㘵昸ㄶ慣慡㈸㠶㙥㔹㡡㥡㙤㔹昱㍡㤱ㄵ搹㙣摢㜹㍡挵扦㈶改愴㐵㑡愴㜲㝢㙡㘳捡㔹扣㐱㔴㜴㐳㔲愸愴戸㠶敡ㄲ㠸㤴挷扥摢㈲愶ぢㄱ㜳㉢〰愷ㅦ㘰㌶挶散㈰㌲敤㌷㤰㌴㥢〵㍣挳㘱㍤㉢㜴㘹㤷㑡㤹〲搱㈰㕤㠴捦㜵ㄴ㔶㠷昸㥡㍢㤸摤㠹慣挵晣愱〳㌲㠵㄰㈵捡ㄳ㠴㈸挳ㄸ收㌹㑢㕣㈲つ散㌰ㄱ㔸㥡慣昹㠱㙢㌳戲搴㙦㑥戹愷摤㘰捡昲㤷ㄱ㠹ㅡ㌲愳挲扤㑢挲〱㜵㜹戰㝤㕡敡摣攵㘵㔱搱捤㌹户〶搱㜶㘲㙡㉢ㅣ捣〱づ搸㤲昲㙣慥㉡㐸摤㥤㡦㌱㠵〲㐸㑢㝦㉢扤戱㥢昲㝥昳搰㌷搰㠰攸扣ㄵ㔴㐵慦ㄹ㌲ㅤ换〵ㄳ㔰㐴攴愰搲㘳捥㉦㜹㐲㑣昵㥢挷㍣慢㔲戵ㅣ㐱㘴挰挶㘴戰㙥㕡㉣㈲㑡㌰敢㌲〶攸㍡晤收扣㘷㌸晥戲挱㠰攲摡捥愶㈷ㄹㄶ搱捣〹换昱昱ㅡ㠹㐵㤶〷捣戹㈵昷ㄲ㈲戶㌵摢㌹㘶㉣晢㕢〲㉢㈴晡㌰㐹搴㈸慡愲慡㑡㐱㉤㜴㡢ㅦㅥ挸㌳ㄹ昲㕥㡥㤹挴㔵㐶愳捦㍣㐵㝢搳慥㡦㘲㌴戴搳戹愶㍥㐴㡦敡㤵搹㔴㈹㑣㑥搵敦攲㤸户㈳㍢㜹散散㠹㐶㘴敥ㄵ挵慣㌵㝡昹㔳㘴扣㈴㡢㝡㈰㠴㍥扡ㅤ㈱愹戰㡥㤴〳づ〴挶昹搴㑡㝥㐵㔳昶㈱昵敤㘸ㄴ㡦㈲㤲搴㘷㑥ㅢぢ愲㡡㜸戴㙤〴㍢挲〷㥡戱戶㔱昵愳戶㐹搷戶つ㤲ㄶ挹㜲慥㙣㤰㠲挷㙢㠱㝢捡㜲㜴ㄳ㤹愴扦愸捡㔸㐵㤵戱㉡慢晡捣㌳っつ捡㌲攷㜲ㄷつ捦ち㤶㙣慢㕣攰〳挳㜷㕢㠲㈶挱攴㤴扣㜱㡡㘵挶㜰㡢㌵㝦ㄶ㈶㥢㍦ち㜴㡦㐲㡥ㄲ㜴㐴㍦㈸㔷㔵昲昸愷㜴改㔸㠲㠰㤱㥥㔲晤㥤㤸㑤㤳户㈳㈰㜲㘴扡ㅣ摦挱戸晣ㄱ搴㠴㐲㠸㔸㑦㈱ㄱ㜸〵ㄳ㐲㥥㉥敥扣㜹搶戱〲㘰㡦ㄸ㍢㙡〵㔳㍥㔰㡥っ㐵㜹扣摤㉢戱㥡ㄸ㌴㔲搷ち搷戵㌷㌵愹㠹㙢摢摢㤳㝡攳㑤敢㌴㠷ㅡ㈵愱㐸㌶敡㈴㌵换㍡㙢摣㑡慡㐶㤱㡡㍢搶㌶㑡㥡摢戴〱㜷㑡㤱㔷愰㤸㈴捤㘴昴㜷㐹㐲㐱愰㌷搲㔱昴搹愷㤳㐷㈲㘲㐳ㅢ愰㐸㍤ㄵ搶昵㐷㈱挱ㄳ戸㜶㔲ㄱ挵攸〹晣扤㈳㉡捥搴㠲愶ㄶ㘳㜵㈸㙡ㄹ慦㔶㘷ㅣ㔸〹㘵挳慢㙣ㄱ㤶挶摥㐲つ㈳戹戳㕢敤ㅦ㠲㌷挱㠸ㄱㅢ㌲㉣㤲攲〷〶ㅢ㠲戹ㄲㄱ㔵㕡㘷晤〴㜵扤扡挰愷㔳挲㜰㈴〶收㠲捡㤴㔸㤱㘶㔸挳㤲ㅦ㤲〳敡愷㐵㈹㐷㜵㜳㝣挱㠷㑡て㈸挷愳㤲㘴㜰摤㍣㐳户ㄴ㉥㌱㐰散㐶愵搹㜲㠰搰㙥㝤〲㥥っ戶づ㜶〰㤱㌰㜴㐲敢㡣ㄲ㌴㥦㐲戸捤㥢㈰敦㜴㠹㔱〸㔲㔳愶㝦ㅤ㔱扥晣㈵愶㙦ㅤ挹挴㠵㠸㠹ㄸ敥㑡戱ㅥ㠰摣㘴㘴㤲㕣㌴ㄴ〷捣㐳挹㈶㠵㔶㕦㕣㐷ㄳ愳㥦㈶㥦ㄷ攰ㄶて㘳㔹〳㘴㥢㉡敥戹〵ㄶ戴㘹㜵㙤㠷㜹挲㈹㔷㙢ㄵ㈱㔵㜱㉣慢愵㐶摥ㄲ昸㤲㔷〰㐳㙥㑡㠱㑢〴㤴ㄳ㌸㑡㜱换㐴㔲昷㜶户㝥〴挳愵㤰挳ㅣ愱敡㘳〰㌲挵㉤㈷〳㘲㙤昷ㄴ㘸ㅦ敥㙣㕣㘰㤰㤷攷㈰搲摡慡㈸换愶㜱ㅦ慦ㅥ㐵㤶摣㤶攸㌶敤㑥扢戴搹ㄳ㔵挷慤戰㙡㑢攰〸晢っ〵㕥㍥て㘳愴㑢敥攰㈴㤹换㔱㜴昷昲㐷攴㘳收㌲㔰㈱㌱愰㌰挶换㔳㔰〶㔰〵㈳搱攰㔶ㅢ㔶户挲攸㉦㉤㙦㝤ㅣ㤹挲㌰㌰つ㕡昴っつ㥣㐹㤴㌷㌶㜰慥㐳慦㤴〸㘹㌲㤸捡ㄸ攵㄰ㅣ昶㐰ㅡ戸㠹〷改㜹ㄷ㑡㈸搸㈵㉦㠶挵㜷ㄳ㐷㙣ㅣ㠱㕣敦慡㤶捡㔹㈳挰昵ㄷ㘷㑦㑢昵㜸愵㐲㜳ㄷ晥戹㉤㠱㔵㕣摤〸捤搱㕤㉤㤷戲攴㥥㘸摦敤㙢㘹㠸㉥ぢㅥ㥣ㅡ㍤㙥〴攵愵戹㘰㉤扣戸搵㉤㐹㘸㍦㠱㍦㘲摤户搳㘶捥㌹扣㠸扡㐲搸ㄷ㉦㍡敥㈵㐷慥㑢昳㜹敢てㄴ㠲㉢㤴㍤㕣㘴㌱昳ㄲ晥挹愴㘶戴ㅦ㘳挶捤㉣㥢ㄳ㌴ㅣ㈴㥣㐷愶㔰ㅡっ愳㥣㐲㈷戰摤敢户〶㐸㈷扢㕡攸㐴ち㠲㙤㐲㜱ㄶ㕦㌵㐲㔱㝥〴戴㤲㔸挲㈳㌹㘰晥っ㔸㕦㜹ㄶ㌵㐴㌸㥥㈳㌱愲㕤㡦㔲ち敡愴㈰㡦慥㜸昰㐲挸晦て㤶㘲㙥㕥㤷㥤晥ぢ捣慣晣戰ㄵ㐵搷ㄲ㐵㍦㘸㐳㤱挲㙢㈰㤲㝦㑦㐶〵㍥㘸っ捦扥慣㐰㌸昷戴㝤〰㝤捤㉦晣晥てて愰搳挰㌰㤳戴搱㄰㙡扢ㄱ攵扡㠹㤰㙤㌳ㄱㄸ扣㤷㈶挲㈹㡥㘱ㄴ㍦㌴ㄱ㈲ㅦ挸っ㉡㌶㌶ㄱㄸ摢㑢㌱〴ㄳ愱搶㠴㕢㠳㈷戰慢㙣晡挷㡥攳攲慤昰ㄱ捦㠷搲昲㈷攱㤱摡摤㕥㍤㙢㜸㠶扤㐷搶ㅦ昳〴㤴㤹㌷㡦㥢摣㜲〸㐷散㕤户㐵づ㕡挷㔷ㄱ㝢搹户晤㈹㥢扢扦づ㑣㠵㈹㜴摦㉢〵㈵晦ち㍣㈵ち捦つ㤹て敤晡昶戱㍦㍤昰昰ㄱ摥㔶㡢㘸㔵扢〵攵㙥㐲昶戴㈷㄰搴㑤㕣ㄴ戹㤲ㅦ收㥣挲㈷㑡搶㜲㔵㑣ㄸ㥥戴㠲㝣摤㡥㡢㈱攱㈵〸㌳㈴扥慤㘰㘲攲摥㐳㘸㘲㡥戶戸㍢攵㠷㑤搲㐵㌸㥡㔸戸昴改挵㘱㐳愵愳㈲敢搲摡搴扥ぢ㔵昴㌲ㄷ搲㙣㈵昲搴挹愴㈸摦㘹搵㜵㠷愸敢挲㠳っ挳晥戱㤴㐲晣㠱ㄴ㤲㍣挸昰㐲㠰㤴㔲㘷㔰搰㙥㐵㤶ㄲ㔹㙢つ昱搲ㅦ戰㉤〴㐴晤搲㕦㤷ㅦ戱〰㡡挰㘲散㡢敦昶㐴㑢㕢㌴㔶㑤っ搵㑡㥢㘶づ〵㜹㜸㘱挵㔸㕣㍢㡦㐲㥣戴㠳㈸㙤摡ㅤ挵㤷昴摢㘱攰㉤㘴㙣捤愶慦慤㘸摦敤搴㜰昳〳㝡㈶㉦ㄵ㠶戳㤳搵㌸㤰捡ㄸ㕤搸戵ㄸ㔶㌱ㅦ〸㡢昵㐱扤㔱ㄳ㜴㤶戳〷愷㔲〴晦昸愵㄰摢㐷ㅡ㔳㕦搹摡㐲ㅤ攷昴㘰㠳晣挱晥扡㌶㠵戱昱㔶㜲っ㈴散愶㝡ㄵ挲敢攱㘷㌱㠴㥢捥㈸㝡愳㈸㥦㤵㐳昸ㄳ㜳㔶㔶㙤搳晦㡣㕥㑢捥㍡挷搱っ㘳㌷改晦昷愲㘲㐳晤慦㌰昶㈶ㄱ昹扥愸㈰㡤㔳挶㑦㌶っ搹㄰㈲昰㙣㈳㜸㈳て挶扡㉣㌲攴ㅤ㤶收昰昱㙡搸㉣㈵㌸晣㕥戹搶慢ㄱ昵戱戴㙤㝢㍢ち㐰挶㠶戴㘷㈰㠲㍡㡥㙦㤶㕢昱改㌶晦〱っ摣㜵捡㉡㝢慥敦㥡挱昰ㅣ㠲扥挳晣昶捣㠴捤㌳慥㝣戳㔵愸敤〳㈴晡敥挳㤸搳㌳㄰搸愷㐵昰㙡挵㈲ㄹ㔹搸㕣㈴㠳摦㈱つ㈶挲㑢搴づ晥ㄵ收㍤㌵愳㡡㑦㔷㘷攰敢っ㔸戵㈵㤴㕤攸㜱㙥扤愱㐱搰攱㡥搶㝢攰てㄲ搵㔱〴挷攴ㄶ㍥㜰ㅦ攱摡ち㠳收扥搱摥㝣昶散捥攷㔶搴㥥〶㑥㌷昷㤶㘶㤲攱㍢昹㐵㜲㔱㉦㌱挷愵晤㈳昸扢㜹〷㉤㘷ㅢ〲㥤㐷ㅦ㜴搳ㄱ㌶㔲㠵晢㙣ㄳ搱敦昳ㄸ慡㡣㌳挳㑦㌷愲〲ㅦㄴ㝡昹挸㡡捡搷戰㉤㌲〰捡㤹㝣ㄹ㔹㘷慡㝥㙡㍤慡ㅥ㍣㠹㌱攴㔷㕤㈰敢捦㉡㍣㙡㤰㉡㡢捡㤷搱㥦㔰ぢ㜷扦挸㍡ㅣ㍤攴㤱〲㘵㍤㈹挹ㄵㅥ㈹攴㝡㥥挴㠰晡㝡㉥愰戶昳㝡㥥㔸㙦㍤ち㡤〱戹摦攴晣㠳戱㌲搱㙤扥摡㘱收㌲㕢㐶㌶ㄸ昷ㅣ愰㤸攴㕥昲㘱愸攱㔹㘲ち改户搱摦攷㡦晣收㌹愶㝦ㅣ㔱愴㘰㐴㔳昳㉥㈸ㄸ攵㉥ㅥ㑢敥挲㐷㙤攷㕤㝣㘶扤㕤っ㔲㘶㑡愸搶㔰〰㔴㑢昸㈳㜷戵㠲〲〱捡㥦㜲㥥ㄹ㝥㑤慢ㄸ㌴㔰㈳挷慥愲搰㥦搵㠸㤸㜷㜴搶㉥㌴ㅥ攳㑦㘱ㄱㅣ㘸晡收昵㙥㝣挳扡挶㘸㜷ㄶ㥦昰㙢㔲ㄵ收搴户㜷㌷㔷㙣㡥㔲㤳㘹㡦㘰搷慦㘰ㅥ㙥扡攱㜳攴㡣㝢昱㉢挰㜲㈴㤹㐹㤰㍣㠰㐲っ㈸㡤㔸㑦昹戲㐹ㅡ㠷扣〵㑡㐷㔶㍥昴㐴攷㐳㤳愰㘰㐷㉥攸㉤㈱ㄸ戱㈵㝥㉡摣㔱㥦攵扢扣摥愰㝣㈲愶挲攳挷攳捦挶搴㈸攰〶㉥〸捤㜱㜲つ〱愹㍣ㅣ㜷晥摥昷ㅢ晥㘲㌴㈰㠱㔵挲捥攴㉥搹昹攳㜱攷㠳昸㈴㑤昶挹㤰愰㤸㥥㡦㍢㤳ぢ㘵攷㡦挵㥤晦㝥㜰㑦扤㜳捣㜴攱捣ㅡ㌹㈲挵搰㤷㐷㥦挴攷改〳攸慥㤹㌴ㅥ㝡捤戰㥡㠴㈸攳收㔵㘹㍥昴攱㈶㡣㠷て挴愷㜱戱ぢ昷㕦愰㘱挲晦㑦挴〹㕣昸㥡㌲〲〳摦㝦慦㈰搲敥改昲㠹㠳昳收㡣㠷㡡ㅥ昳㠴㡦〳㘵㘵㑢㤱〸㙣愱㕣〸摦つ㈲ㄲ㈹㜶㜳〳ㅥ㜱㠴㔰攵〵㥡敥㌴愷㡣㉡攵㤴㠷㘲捣㘶ㅥ㙡搰㡣晥㔱㈰〷㍡〱㌹ぢ晡挷㤰㠷㔱愸㕤慣ㄸ愴戰㤳㤲散㘱㌶㝣㠲搹㈷㤱ㄵㄵ㑡㌶搲㐱晥ㄱ㘴〳昱晦愵㘳㜸㐵㍡㡢㔴㘵㌵㝥㔹㤲㡣昴㑦㜱挰愷㤱㘵攱扢㔶㈲㈲㉣敡㡦愲㈶昹㔲ちづ昹搲捦戲攱㌱㘶㥦㐳㔶搴戸搸㑤㐳㡤㝢敡㔲㙤㝦ㅥ㐳ㄵ㠲㠲㜳攸㕦㠸ち㝣㔰〸〷㡡㜳挵挱づ㈹㐳愹㙤ち㙡㕥㈱㙣㘴㠳ㅤ㌵ㅣ㤶つ㡡㐲㜸挹㠶㙡搴㐰㕤愶㍦㠱㑣㈱㍣戸㈷晤㡢㝣㈲ㄸ攴ぢ㥦㡣ち昲㠵㠴㠱ㅣ扥搴昲㐲挲㐵㌶㉣戶扣㤰戰㤲つ㘶昲㠵㕦攱愴㜲㘳㈸㌴慢㉢㙥㔰挲晢慢㈸昴㘷〷戸戶㝢昱㔳㔷㤵昲昹捡昹昳㉦っ攴㠶昷收摥晢敥扥㉦㍤晦敢㍦㍦晥扢てㅥ晥摢㡢㑦㍤昵扢扦㍣晥摣㡢㍦㔹㌸晣㡢愷㥦晥昹挹慦㍦昷攷㥤收㌷搴敦扦㌰晤㡤〷挷㉥㍥㜸扦㜹昶㤶㘳て扥敦挲㍤㘳戳㔷㡣㘴戳㍤㍤㌷て晤昲敡㌷て㍥㜴晦て㤵㥦晤㘱户愳挸敤攲〵捤换攰戶攵㌲扥㡥〲㤶挱ㄵ扦愶换攰㜶㈵愰捥㐷㠰㥡㐰〵㔵ㄸㄷ㈰ㅢ㑡捤つ扤晦〱㔳㌵扤敡</t>
  </si>
  <si>
    <t>Worksheet: [Formatted_Assembly_Line_Sim.xlsx]1.1_2. Housing_top_lò_xo</t>
  </si>
  <si>
    <t>Student's t distribution with parameters:</t>
  </si>
  <si>
    <t>Midpoint</t>
  </si>
  <si>
    <t>Scale</t>
  </si>
  <si>
    <t>Deg. Freedom</t>
  </si>
  <si>
    <t>㜸〱捤㔹㕢㙣ㅣ㔷ㄹ㥥㌳扢㌳摥㔹摢挹㌶㐹㈱戴㘹㜱㘹㈳摡㍡㕡挵慥ㅤ摢㡤愲挶㕥㈷㡥㕢㈷㑥戳㑥〲愸戰ㅡ敦㥥昱㑥㌳ㄷ㌳㌳敢搸ㄴ㈸ㄲ㡦㈰捡㔵㠸㠷搰㍥〳ㄵ㑦㕣㠴㔴㜸愹㄰攲〵㄰㐸㐸㍣昰捡㐵㤵㘸㠵㤰㄰㍣㤴敦㍢㌳㙢敦慥㌷㑥㥡〶㈹愷捤扦攷晡捦㌹晦昵㍢挷㥡搰㌴敤㕤ㄴ晥戲攴㔹㌹㔲摤㡡ㄳ改㤷㉢愱攷挹㝡攲㠶㐱㕣㥥㡤㈲㝢㙢挹㡤㤳ㅣ㈶㤸㌵ㄷ攳戱㔱㡢摤捦挸㐲㙤㐳㐶㌱㈶ㄹ㥡㔶㈸㔸㍡挶摢晦㑡敤㡡挵㔵㔶ㅥ㘴〸戳戴㤵捡摣昲敡㡢㘰㕤㑤挲㐸ㅥㅢ戹㤲㌲㌸㌵㌶㔶ㅥ㉢㑦㑣㡤㥤㈸ㅦ㍦㌶㔲㘹㜹㐹㉢㤲愷〲搹㑡㈲摢㍢㌶㜲戱戵敡戹昵攷攴搶㑡㜸㑤〶愷攴敡昱愷㔶敤㠹改戱㠹挹㐹㘷㘶㘶㝡挸〴攷ぢ㤵戹㡢㤱㜴攲扢挵㜳㠰㍣㤷㉢㜳攵ぢ㌲戹㕢㍣ぢ攰〹㤶昳愱㙦扢挱㕤㘲㙡㔰挰㤳昳戲敥㔲ㄳ㔲㐶㙥戰㔶挶戶扢〴㡤搶㔴㜹㌶㡥㕢晥㍡㤵㕡㤱㥥㜷㐹㍡摣㡥攵捦挷挹㐵㍢昲攳㈱㥦昲㤳㤱っ敡㌲摥攷㥦搹慣㑢㉦㥢ㄸㄷ晣㉢㜶㜴挱昶㘵㥥㤵晤㝥慡挳挵㠶っㄲ㌷搹ㅡ昶㉦挷昲㤲ㅤ慣㐹㑥㌱晣㠵㤶摢㄰昹㍣晥搷㜲ㅦ敤户㌳愵㈸散挷慦㌴敤㈸㔱㉤慡㜰慣摦摣づ㜳㔱愷攸摡ㄷ㑤㙡愴㘷ㄵ㜵㔶㜵晤攷㘴ㄴ㐸㡦ㅦ愱㈶㐷㝢㈶㈹〱愵㝡搸㤶㔴晢㌸ㄴ㡢ㄸ捣㍣㠱㘷攱㔷㑣ぢ攴㈴〴㈵㤳昰搸㔲㔸户㈹挷㔳攳㌰摢㠹愹挹昱ㄳ攳㔳㌳㌳㤳㤳搳㌳㘳挷慡㑤㝢㕤㥥㠲ㅤ捦㑣㑤㥤㤸㤸㥥㤹㥣㤸㥡㥥ㅣ㥦㥥戰㡡㘰㘰つ㤲搵㄰㐸㘹摥㑥散㤱㉡搴㈵攳㤱戱愷挷㥦戶㠶㌹扥て㐴攴摦㠱㕦㜶㙥㠰慢昴㥡慤搷㔶昵㕡㕤慦㌵昴㥡搴㙢㡥㕥㕢搳㙢㑤扤收敡戵ㄷ昵摡㌵捣㘹㤷挲挰㠰㥥㤵ㅦ晣晢㠵捡㡦摥晣攵昲敢晦㝣晣ㄷ㥦晤改㝦㕦ㄳ㜴㐵攵挹㈵㔴摥搷㠱敥〳〳敢〰㠸㜹㄰㘴戸敢㐰搶㈱づ摥て㈲挴摦㜱ㅡ㥥攸㕦㍦ㅢ慡㝤晦ㅦ㙦㕤昸挹慢㝦扤晣愷㈷㝦㕢ㅢ晡㈰㠶㥦捦攴㍣ㅦ搹搷㘱戹㍢㑥㌱㕥㍥捥晦㙥ㅤつ㄰っ㥣㐹㘷捡ㄹㅢ㙢㑣ㅥ户㥦戲つち晡㜶捤㡥㐲ㄸ㜲慥扡㐱㈳扣慥散昰挸㥣ㅤ换ㅤ戳ㅣ捤挶收挲㔶搰㠸ㅦ散㍦㔸㑤散㐴㍥搰㍢戶挳㘴搷戲㔴敤敡㝢て昷㉥扢㘲㝢㉤㌹扢改挶㙡昸愱㥥㘱昸㘸戸㝡昳搱戳㤱晣昴昶攸慥ㅤ捤㈲愲㙦㈸摥扢㑥㤹づ㘵收㔸㘹㠶戱っ搴昷㐷晤㡢㙥晤㥡㡣慡㤲昹㐰㌶搴㔱敦攷㔰ㄶ㈸㐶㤷〳ㅣㄴ慥摦昸㐸㘷慦㜳㘶㌳㤱㐱㐳㌶戰摦㜵ㄹ㈵㕢㉢昶慡㈷㍦搰㌵㈵晤㈶〶㍥搴搵㝤㌶慣户攲㑡ㄸ㈴㔱攸㜵㡦捣㌶㌶㙣〴愷挶昹戰㈱ㄱ㕢昲㉣㥡搰㜲㌹㈱戴㈷晢㌹㌸昹挶㘵愵㠸づㄵ㌳搴ㅣ敥㌶扢昲㈵㥣づ愷昰㈴㙤㔲㝦散ㄶ捣ㄴ㕦戲㜹攲收ㄳ㍢捥挴攴挹搹㡦摦㝣戶摡攳戶收晥扦㤳㜵晤㘰㜶晡㌳ㅢ〸攰攷散愰攱挹㘸捦搴㉦戸㈳敢㌰㠸昱ㄷ㜸昲㑤愵挷攰㈲㌶挵㤶㜱摤㙤㈴㑤戳㈹摤戵㘶㠲㍥挰㠳㐲㠱愲摤㔵慣〷搰㘵㍤㐸㜲〴愴㔸搴捣㠷㌸挹㉣㕡て愷㙤㠳搱敦扤愷〶〲㄰㑢愵㈲攰㠶搸昰捦㠶㔱㥣换昵㍢攵㌹㍢㙥㈶㌴捦㍤〷㤹〴慣て㤳㡣㠰ㄸ㡣搶户捣㍣晢㌱㈹捦〴㍢散捦㑢挷〶慣㔱摥㉤㙣挳㑦㌳攵扣㡣敢ㄶ㔳敡㈲㝣㘵搳㐴つ捥㍦攴搳晡攵㘶挲㠸㍡攰㌳攷〴㠹㠵㐹愳㙡㔵㕡攳捡㘱搵搷㕥㕤捣㕡攰㔰㔲搵づ㉥㠳慡㈳攵〴挷㠱扦㘸戹㡣敥㝤〸散㥤改搳散㌵昴敥㈴㡢摣摦㔸㤰挱捡搶扡㡣㌹扤㘰敥㈹捡㕥昷㈲戳攵晡敡攵挴昵攲㌲㜶扡㄰㠵慤昵扢挹㠷扣慣㐷㐰摡挵昸㌳慣昸昶捦㐴㘸㍣戰㐱摤搴㙡㕡㠱摣搸㘳㌱㡦㕢戴㔶㌰㝢ㄷ㍦慡㔸㐷昱㔳摣㙢捣㘰㤲㝦㉦㠰㠴愶㌷攴㐳㐲㉢㤱㔴㄰慢愰ㅡ㤰昶戰㝦㌵㡣慥慤㠶攱㌵摡搳㍥搵㡡㥢㔲㈶㠴㉤㠳ㄹ㑣㔳㜰㑣㠸㕣慥ぢ㔲㜴攰ㅢ〲ㅥ昳〹㤰攱㔹捦ㅢ㘹㜳㡣捤㈷搱㤵〳㠰㌲㐷㔱ㄹ㠱〳昹㜶㠲ㅣ㔰〳㤰㤴晥慡户㔵㕢㜲〳㔹〳搶㉡㙦㝡昱愶昸〳愴挰㍣晦攸搲摦㕥晡捤搵㌷捥摦昰晥昸晡昲㝦搶㤷挴敦戳㠱㕤㔸㠴〸㐲挱愲㌲㉡攲㜷㤸挶攸㠲㝡㜷戱㡥愳㙤㡤㤱㡣㠳㈰㐶㈸愹㈳㐴㑣愴㑤㐱ㄴ挲㌰㘱㑤㤲㥣〰ㄱ〴㈰ち㔲㑤愱搲㉥攲㔷攰㑦摤㉢晤ㄱ戶散搶摦㐹昴ㄶ慤㍤挶〴㘱つ㜵㘸㔱㘶ㄶ愵㘴㔱㐲攲攷㘰摣㔷〰㙦㘴〳扤〸挸㘰㐴㝤て㤹㑢ㅤ搱戹攲捡敢㜴戵㝤づ㘰㜷愵ㄵ㈷愱㡡ぢ挳捥㝣㜸㈱㑣收摤㜸摤戳户づ㍡㔹攵㙡㔳〶挸摡ㄱㄴ搷搳ㄷ慥慦换㠶攵㔴挳㔶㔴㤷㡢昳昷㐲㔶㠷㌸㈰㐷㤵搰㜵㠱㜲㘷㠹ち㤸㔳挰㑡㔰㌴㠳改愵㌷摥㈸昰摦㠱つ㔴㤵㐸㜰晦㡥㐴㔷摣挴㤳㠳㡥捡换慡㕥㜰㈰㐵㐰愱挶㠰戳搲㠴ㅦ捥て㍢ぢ㤱摢昰攰〲㔴挶愱㜴敡㤲㕣〳散戹ㄸ挶㉥敦〷挳捥㑡㘴〷昱㍡㈳㜸㝤敢㐰㔷㑢㠵㝡挳㤹㜳㠳ㄸ㥦㔱㕡㘴㝤扦㔳㙤㠶搷㜱晦㙥昹挱㠲扤ㅥ摦ㄳ㕡愱户愴㐵愹㐶攸㐲搷㐵㐱㉦摣愹㝥攸昳㥡㐶㕦捥㤳㈸㕤㘹〶㐱㐰㙦㑣敥㔰㔵て愰攲㥥扡慥慣㝤㜳晢昶攳㠵〲㌰昳㕣㜳〶攴搹㠵换㡢㍢㔷㡤昷昵昸㘰㄰戶摣㌶戲㔳愱㈳㌵ㄵ愲㍤㕡づ㍣㄰ㅡ㘷慢搷晣㡡㡥㥡㐳㑢摣户㔳㍤ぢ㜰㌰攴㉣搹慢搲㑢㐳昲扥戴㐱㜰改摢㕥㥣㡤㔵㐲摦户㘹㕡扣㘲㔷敢戶㈷ぢ捥㙣㉢〹捦扢㠱攵㠰㈸晢换扡散㑤㜴搹㥢㈹晡㜰㉥昱慥愳敡攴ㄵ慥搹㤱㥢㌴㝤户㕥㘰㠳昷㤱㝢挲㈶ㄱ㈷㠸㌶摢愵ㅤ㌳㝡攱㑣ち㉡愰敥㌲㙥〰ㄴㅤ搵て换搵㠵㠹晦挴ㅤ㐲㘱㐴ㄸ㤵㌸慣〵㜰㌳〸㌵ㄹ㜲㔴㜹扢晤愲昶昶换攸㔱㐱㐸㄰挹㜲搸㍡㤷捥㔱㌴㑦㌰戹㈷㑥㈲搰㈸㉥㠵㜶攳慣㕤挷㜳搹㐰昶㔸㔶㠰㙡ㄹ㔲愲ㄲ㤱㙢〵㤷㈱㕣戲㌶摣㠶㡣ち散愸攲㘵㉥㑦捣㙢愶㍡㐴づ捦㘹㠶㌱㔸攸昷慤挵㌶慦挷㌲㍣搰昹昲户戸㡢晦㕢捦㑦㍦挳捤ㄷ㡢敡㔹㙦ㄱ㔵敢㔹㄰㌱〲挲昳昴㑣㜸づ㕤搶ㄲ㠸昱〸㐸慦㙥扡㐱㈴愰㈶摦㔸昲敡㤹㠹昰戶〰㈸愸㜰戱愱づ㌲搸㠱㘷捤ㄴ捡ㄶ摡㙦㔷㈶㕥㕤㈲搹㈸愶㜱㤴戸㤹敡搰昵㍣㔴㙤昶扥〵散晡㉣㤸昹㔵愹㠰慥愰捣捤昳㈰㠷改㉣攰㕦敢㝡搷攰㐳㑤㉦攲㉢ㄶ慤㘵㉣搰㡡㠲搰慦㉤〵〶㥣㘲㤱散慣㡢㈴捦㠳〸攲ㅣ收晣㡥っ㈵〸㙥㤸愵ㄴㄲ摡ㄵㄵ〵㘱㡦扡ㅥ㕤㐲㐵㌰㕣㌲攰㙣ㅢ攰ち敡户㌶㐰攲愴㕤〶㈸〸㤶摡摢㐵戵慤搵㉢愸㕡㔷㐱〴㠱㔴㥦〹ㅦ攳㠴㡦㜳〲戱ㄵ㌵㙢㝥〲攴晥扥ㄲ敢㈷慥ㄷ㌰ㅢ攲㈲搲㙡戳敦㄰搷㈷搱㙤㝤ち㐴㌰㕥慢㙤搷戲ち慤捥愰捦昵㥡搲㉥㌷㘷㙣㈸㍡㜴昸㙡戲攵㈱挸戲㑡搳㑡㙢㜴㤲㜴ㄸ〶ㅦ㐶㜸晣捥昷㕥㙡户搷昲摥㍡㜸愸攷挱㐰㉤攳〸攳㠹昱ㅡ〰摥㑤搷昳〴㍢户〷慥㘱㌱㙤㤰㐳攷摤㝡ㄴ挶愱㤳㡣㔴〱ㄴ搴㝢愰愳㘹挷㘷㡤敦㠲㘳摦㙦昲㘰昹㠰敦慣ㅢ扣㤰ㄴ慦〵攱昵㐰敤挶㠸昹づ愵攴㌵㌰挰捦愴㘹ㄶ㤵㐷㈱挵㔲㍢昶㤴攸戵㉣㈵㝡㉥㑢㠹㙥捡㔲愲慢戲ㄸ㌴攸摢昵ㅢ敥㐸慣㡡扡㘸〸㤹ㅦㄸ㄰㐷㝢㥥㌹㜶昹摢昶㍤搱㌴改ㅦ挶つ㥣昵昶ㄶ㜵㡢㔲㉤〶〳慢㐱㈲㐱㡡㈵晡ㅡ㌷㘴㐲㡣摡㠱捡ㅣ㉥㉢㕤㜷㈴㜳つ晤㐳攸㔷㌱〵㡦攰戱搹㐴捦㝤攸改㝥搴㌶㕤㜴敦㐳㜷〷敥㈸搱㠹挹㕤攱㝤昵㤸㙢㜹㙣㔲搲㐲㌹㈸㕢〱㕢昸㐷㙢ㄵ㜴㔰㕡慣昸ㅡ㑥㐹㍢㐱㕤戳愸㝣敡㔹扣㠲ㅥ敡扡㕢㔷㜴㐱㤶搲搵昴㔷㉢搱攷㔸㑡昴㍢ㄶ㐱㈷愲㥡挴㔷戰㥣㈲㌴搰戰㘲㤲〴愴㔸愲ㅦ愹捤㔲ㄴㄶ捦㙤昱愸ㄶて㔶愲㝦敤㥣攴〰晢㕦㈲戹㡦㠳㜴㌷㌵昸㌹㔴㠶㜳晢ㅢ昸㈱㜷㍡㘹㐷㜹晢㤹慣㜱㍡晤㉤㘴扦愵搳晢愹㡣慥ㄵ慦扥昳扤㤳㐷㙦晣昰摤散昷攵攲㡦㉢攷摥㍣㍡㜹晡搷てㅥ㝣改㐸攳昰㘹㐱㌹昶扢㔴扤㡣㤳昵扤㔴㝤㍥ㅢ攸扤㔵㤶㈸㝥戵晢㉦愲㠲摤㔳㈴㕤㝢㐱ㅢ㘵㡦摤㔳㝥㕤㉢㙥戹㝢捡慥摦敥户㙥戶晢捤㙣㘰搷㤵㤰㈲扦搵㤵戰攳晤㤸㑦㑣㠶挳挰㌶攸愴摤昴㉥㠴㌶搷昳㔴㔴ㄸ〲戲㡢昰㠲换扢㍡昰ㅣ㙥敢㤹㥤攳〲挳搴搶挶づ㤶㙡㜱戱改㉣㐷〰ㄳ〳捥㘲㡣ぢ㘶愳㠰ㄷ㈸㕣晢愳攰㕥㠰㝤㠸搳㜹挲㉤㠲ㅡ愴㜸扤㙦㠸㘴散摢〳㤱敦挸愳晤㌰慢ㄳ㄰摥搹㕤㔳愵户扣搸㠰㍡㔳㌷晥㠲愶㍣ㅣ攸㐳戳扥㠴㡤ㄴ㔵㈸〰㈹㕡㕦㐶㌳㠵㡤て愱愶〹摡㈷搵㥤昱㠸晡昲㜸〵ㄳ㍡㜸㝣戵㍤㕦㉤搲っ㝥攲戶捦捡愰㜴㄰㔶㤱晤㙤㤷㔸㝥搴攳㕦㜶晢㐱挳敥慢搳搷戱㔴昰〰攴㘱㝤㈳慢戰㈱戸㐳㙥挳晡㈶㕢摣愰㥡昳慤慣愲收愸攵㥣搳捥㐲愸㙢㈵戲㔱㥥晡㙤㔴㠶㜳㐲㌱㐰戵㝢ㄶㄹ愹㔹摦㔱戳っ㑥㍥搹㤳㘳晡摦ㄳ㐷㝢晦ち㜱〶㝦㔵搸愲晤攴〰㤰㔳㔸㤹搷㥦扥㌳㕥捡㔵挰㡡㐱搱㜰愰扢昷挱㠷㌲摡㠱〸攴㌸㠷㝦〵愱〹㥥㤹〷ㄶㄲ㕦攰㔷戲㠱挱晦〱愶㕦〰㉢</t>
  </si>
  <si>
    <t>Assumption: Data Series 1 (F5)</t>
  </si>
  <si>
    <t>Cell: F5</t>
  </si>
  <si>
    <t>㜸〱捤㕡㘹㜰ㅣ㐷ㄵ摥摥摤㔹㙤慦慥㈵㜶㉥摢〹捡㘱㥣㐴㡡戰ㅣ摢戱散㌲戱づ㕢㌱昱㐵愴㌸ㄴ㄰㤶搱㙥㡦㌵昱捥㡥㌲㌳戲㈵㡡慡㈴ㅣ㑥㠰㄰㈸㈰㥣㤵㑡挲改ち㌹㈸〲ㄵ㈰〴ち〸㍦挲ㄱ愰ㄲ慥ㄴ㍦〲㍦㠰愲㔲㤰昰㠳慢〰昳㝤㍤戳搲捥散㑡㔶㡣愹㑡摢昳愶㡦搷㙦晡扤敥㝥晤昵㕢愵㐴㉡㤵㍡㠱挴㌷㔳㤶㤹㌵攳㜳㝥愰㥣晥ㄱ户㕡㔵攵挰㜶㙢㝥晦㤰攷㤹㜳㝢㙣㍦挸㠰㈱㔷戲搱敥ㅢ㈵摦㝥慢捡㤷㡥㈸捦〷㤳㤱㑡攵昳㌲㑤㈹搱㔳慣ㄷ㈴㝢㐹㔶㑢㜰愵㘴づ愴愳つ㘴㘲㘴㜸晦攴㡤昸挸㜸攰㝡慡慦攷㘰㈸㙡晢挰㐰晦㐰晦挶㉢〷㌶昷慦敦敢ㄹ㤹愹〶㌳㥥摡㕥㔳㌳㠱㘷㔶晢㝡づ捣㑣㔶敤昲㌵㙡㙥挲㍤慣㙡摢搵攴晡㉢㈶捤㡤㕢〶㌶㙥摡㘴つづ㙥改挸㐳昲扥㤱攱〳㥥戲晣搳㈵㔳㔲收晥㤱攱晥㝤㉡㌸㕤㌲ぢ㤰〹㤱愳慥㘳摡戵搳㈴搴愰愹㌷㡤慡戲捤㌹㔱捡戳㙢㠷晡㌱散㤸愱㔱扡戲㝦挸昷㘷㥣㘹㑥敦㠸慡㔶慦㔵ㄶ捤㈶㥤㔱㍦㌸㘰㝡㡥摦攱搰㝥捡㔳戵戲昲扢㥣㥤戳㘵㔵㡤ㄸ晤扣㜳搰昴昶㤹㡥捡㌲搳敤㠴㜳戸扢愲㙡㠱ㅤ捣㜵㍡搷昹敡㕡戳㜶㐸㤱挵㜰挶㘶散㡡挸㘶昱㍦㤵㔹搷㙡㘴㝡愲㌰ㅥ㘷㘴捡昴〲㕤攲㔸〶㕡昱㌶㉣ㄷ慤㐵㙣㕣㕣㔲㍤㠹㕥㥣戳㜱摢戹㐶㜹㌵㔵攵㐷㌸㤳扤〹㈶㙤愰㜰ㅥ收㉤㔵㔷㠷戳㈴摡愳㍤㐱㕤昸㤵㕣㍢挸慥昱㘰㠶㍡昷敤戵㉢搳慥㕤ぢ戶て㕣搱㍦戰㘵挳收㠵戴愵㙦扣㙣㔶搵㜶慣攷㑤ㅢ㌶つ㙥搹戸㜹㜰㘰㘰昳㤵㠳㠳㥢晢㐶搵㈱㑦㈹㝦晢㠰散㠰㉣搹㐹愹㕤㈰挵㔱㌳㌰㝢挶㌱㜳捡敦ㄹ搸扡㜱慢散㘶㝢ㄱ㐴㘴晦㡣捤摡㌸ㄶづ㈳㕤㌲搳愵挹㜴愹㥣㉥㔵搲㈵㤵㉥㔹改搲愱㜴㘹㉡㕤戲搳愵ㅢ搳愵挳攰愹愷㝣㕢㕢㍡㑡搶挶㥦摣晡捣昳挷昷㝣攲捥晢敥㜹昶㉤㤷っち敥㑦扤扤捦㐰收㜴改戶〲戲攴㑡㤰摣㤹㈰㥤㌱摤攴㔹㙣㍣ㅢ㐴㠸㍦㐰㌱㉡昷搸扥㜵昹㥢㝦昲敢扤㥦晥摤㕤㙢扥昶慦捣慢〴ㅤ㠶ㅥ搵戹挸㥣慥㔱慤攲㠷㔷㠳攴搶㠰㈴㉣扥㘱慢㍣㡦敤攷㠳〸昱㥢㘸㘰㡦ㄷ摥晦搰て昷㡦敤㝢晦戱㔷㜶㕤摥㜷攷㘳㠲㑥㑣て慣〷㤹搳㌵戰ぢ㈰㑢㕥〸㤲扢〸㈴㌱戰㉢戶捡㡢搹扥ㄶ㐴㠸㘷愳㠱晤晢晥攷㥤㔷㕤昲挰搸昱搵敦昹摥愳㍤晦㍣摥戱づ捤慦㡢搶敢愸㘷ㅥ㠵〷㔸㜰㉥ㅢ晡搷昳摦挹扤㉡㥣慡戵挹扡搲ㅡㄸ愸㙣㕡㙦㕥㘱ㅡ㕣愵换摤扥㕣慣ㅤ搶昵㜶慤攲ㅥ搵晢㜹捤戰改慢㠵敤摤ㅢ戵つ扢㌳戵㡡扦扡㜵攳㜸㘰〶㙡㔵戲㙤㐱㐸㔳户㜰捦攸敦㥤㥦散㜶搰慣捥愸愱㔹摢搷捤攷㈵㥡攱敢摣挹挵㕢㜷㜹敡愶昹搶愶ㄱつ攱㡣㍣愲㘵㌷㘹ㄹ㌶㐵㝢㜹㘴捡昵㔵㑤㝦扦搷㌹㘰㤷て㉢㙦㕣昱㠴㔵ㄵ慤敡㤹㙣㡡ㅣ㙥敦晥ㅡㄴ㠵ぢ慤㕣搸㔸㙢敤㥣つ㔴慤愲㉡ㄸ敦戴昲㠲戹〹㜳戲慡捥㡡戱㠴摦㐴挳戹戱敡㕤㙥㜹挶ㅦ㜱㙢㠱攷㔶攳㉤㐳㤵㈳㈶㥣㝣㘵慦㕢㔱昰搱㔹愶㤴㐸㘵㌲㐲愴㉥㙢攵㈸㈹搷敦搷ㄳ搱㌰挵㜴搹攷挴㤷㕤晦戵搰づ㕡㔴ㄵ搷㘴晡攲㤳〸搳㜲㈹收搲挵ㄹㅢ㜴㈲ㅣ㈱昷㈵㡢㜳敢㌱捥捦摣晦㤷㌹㥤㕥ㄱ㘹扦昳〸づ㠵慢捤㕡愵慡扣㈵挱㤴攰㠸攴㈵㈰挶㉦戰㥢ㄷ戵ㅥ㍤戳㤸ㄵ㜳挶㔱扢ㄲ㑣攵愶㤴㝤㘸㉡㐰ㅤ〰㔷㍥㑦搳㌶㈵㜹ㄹ慡㘴㉦㐹ㅦ㐸愱㤰捡㕤㑥愶㕣㐱昶㠷㘵㠳〷捥㑢㍦㘲〹改愴㍥搲㠱扦㝣挳搹攵㝡㝥㈶搳㑡换慢㑤㝦㉡攰昲㕣戲㤱㠷愹㝣㌵挹㝡㄰㠳㐷摤㐹㑦㜰㌲㘵〹㔴㍡㥤㔱㘵㤹㠰㠷㝡㜷ぢ搳㜰㐲挴㌱慡晣戲㈴㌴搹㡤扤㌲㥢㐳づ㥢扦挳攱敡㔷戳〱捦愰㌶〷㈰〷戳㈴挱搴慢㝢㠵㌹昶散搴㜵昵摥㠵愸〴〹㐵㥤㙤㤰搲慥㉢㐲㐹搸㌸搸㉦愹㑣㐴㤷㔶〲㘳㈷っ挹㈵ㄷ㝡ㅣ慣〰㐳㔵挶㔴㙤㘲㙥㕡昹㘴捦攷㤶㌴㘵㜲㝢㔱搸晥昲攴㜵㠱㕤昵晢㌱搲㌱捦㥤㤹㍥㥤㜲㈸㑢づ㠰搴㤳昱ㄴ㔶昱昲㜵攲㘵愳敤〸攷愶㔴㑡攵㈹㡤㌵㤲㈰㐸㜲戵㐲搸〹扣㜴㤲㥢昰㉡㉣搵㘶昰搰㜹㈹挰㡥挸愲挳㠱㠵㈶㠰挳戸㜰昲扡〰㙢㜷㍡搷扢摥攱㐹搷㍤捣敡㉥㕤昲愷㤴ち〸晦摡㈳戸慢㘱慤㄰㤹㑣っ㡦㌵攰㐴〲挷摣㈰㐸攷㔰戵摡㔳㤷攸攷戶愲㉡〳㈰㥡摢㠶㑣て㌶㤰㘳〶㌸〳㑡〰攴捡㤹慣捥㤵昶搸㌵㔵〲㘶敤㥦慤晡戳攲〹㔸㠱挸㈸㜷散㤱㌷晦愸㘳搷挸ㄷ㥥ㅣ㕤㌵摢晤㠳㥢挵㜷愳㠶㈶㈰㐷捣愵㌱攵㙢㤰ㄱ摦〶ㅢ扤ぢ昲昱㈴㜷愰㉣㠷㐸㠶㐱攰㈳戴搵攱㈲㐶挳愲㈰㙥愳㥢㤰㍢㐹㜶㠱〸㐲㌶㡤㐷挷㤰愹㈷昱㔵挸攷摣敢昹㈳搰㙢㥥扦㙢㔰㕢㤰㑢戴〹〲㐱捥愱愴捤㈴慤㈴㘹㈱昱㄰〴户㌴挰㠳㔱㐳ㄳ㘶㈴扣搳〶㤸㘰晦㉦㠰慤戵〱づ昲ㅢ搷㤳扣ㅥ愴挱〰㙦〸㡢㠲㄰㔱ㅢ攰㡤㘴㝡ㄳ㠸㈰㌴搴〶戸〱㤹㝡ㄲ㥦挲㌷收つ㐰㑣搹㙣〰ㄳ戵〵戹㐴㥢㈰攰㙣㘵㠰㡦㉤㘶㠰㡦㐶つ㑤搸昴〲㐸搲〶戸ㄱㄹ㜱搷愲〶愸愲㔹㍡㈴㌵㤰〶〳㑣㠷㐵㐱㈸慡つ㜰ㄳ㤹㍣㄰㐱〸慡つ攰㈳㔳㑦攲㡥㐶〳㄰扢㌶ㅢ攰㈸㙡ぢ㜲㠹㌶㐱㘰摢捡〰㙦㕦捣〰户㐶つ㐹っ㙣昰㑣㝤〹搸愵㥤〳戶づ摡敡㈸㥤㙤㤷㠵ぢ散挸㡣ㅦ戸晡㘴攸戴㐶摤㝤㙥㌰㙡晢搳㔵㜳㙥㠵ㄵ㘵慥㥦㔲㌵攰㌶て㕢㌷㔱攷㑥㑦慢㡡戴挶摤ㄹ慦慣㜶㡦扥ㅣ㜰ㅤ昴挳搴㘹㐸㤷ㄶ㐸愷〶㔵㜰敢㄰㔸㈵㐸㈹㠳〰㈳㜹攲攸㙢㜴〳㍡搴㔹㑥㘸昷㠲㐵㈷散愰慡摡㉤㡤捣㜴㍥㙦挱㡡〰挳㤵㌶㙢㘲ち㥥㜸戴搳ㅡ昳散㑡ㄵ㑥㤰㤳戱㌲㘴摤愳づ〱昸ㅥ㜰㝤㥢ㄱ㡢㑥㙢挲㌳㙢晥㌴捦昰昲摣ㄹ戱㤲㍥散つ㙢搸慥昹昸㡣㥥㐵收扢慤昱㈹昷㈸㘲㕡㌳㑥㙤捣㥣昶㕦ㄶ戳㐲㝦ㄹ㈶㍤㌵㈲㉤搲㘹㤱㑦攷㑦㜵㝥㜸攴愴㔲ㅢ昰㘴㐹昴㕣愵っ挲挰攴愹摣㌰㔵〹㐸捤㌱挵㠲㍦㉤搱摤㝣㐰㔰㐳搸㕢搸攷㔶㤰搷㡥㕤户㝢攱戲昹㍦㠵昱㡣㍥挸㕢㌶戶攷挱搲ㄵ㉥ㄵ攲㝤慥ㅣ散㐰捣㌸㑢挹攵㔷戰㌴て㔷㘲搷㐲㜶ㄷ攰㘱㠷戵挷㥣㔴搵昰㔰敥ちぢ扣㕥㌸㘶搵㡦摡㐶㕣挷㌱戹戴ㄸ慣搲搱㥤扣㌵㌴ㄳ戸㝢敤㥡戴㐰昴晡㡢慡捣㔹㔴㤹戳㈱晥戴慥攵㙤㔷攷㈹换㍤㘴㝡㜶㌰攵搸攵㍣ぢ扣㤱扥㉣搶㈴晣〴敦ㅢ昵㔴昷ㄹ㐹㐰ㅢ挲㑡㑣㜷㍦敥㠰㌴ㅤ愷ㅦ㉢㌷㉤㜲昸㈷㑥昱㌲〴て愳てづ昹づ㐸㌳㜸搹愰换搱改㠵㝡㤴晡㠵㥢㔱愳㥤㤰攰㕤㠶捤昲㥤㈱㡦愶搹㔷攳戵㈴㔲收愵愳戰挷㌵㉢扢捣㌲〲捦㙤㔱搸㌹㡦愹愵㑢昱㡡扣扢㡣攰㍡㡣㙢昶ㄱ扢愲扣㍣㉢挶ㄱ敤捥昲搶㤳ぢ攷㄰㈸㉥㤳㌲㡣昶㝣慢㙦敤慥换扡㌸㐲㠴㡤搱昴摤㑤昲㥦㝦摤㤶慢㌸昸㐲㈱〳㉡摦㐵㜲っ㐴慣〷愱㍥〹㠶摢挸㜰㍢㠸㐱晣㥤㥣㥢昸㌵㈲扡㙣㘴㠹㘵戳扣攰攴㜱ㄹ搰㌷㈳㐳㉢搲摥㜰愳挹㠵㤷㤹㝣㍤ち㥣ㅢ挷㉡㔷㤵㐲攸㐷㜹㜳攲㜴愴搳㔹㑣㜵㉥ㄹつ㙡晡㉣㠴㌹攳㑡㕦㜵〴攱㝤敥摤㈰攷㜰戳㐰㝥㈹ㄶぢ㘴㥣昳㜲戴攲㐰㥦㐷慡㠵㠲㝣㉦慡㔲〵㐱昰㕦户〲攳㙥㠵㠲扥㌷摥㠱慣㝣ㅦ㠸㈰搲攵㤹摦㜰㐲㠹ㅤ㈸昲㤴㑡戵昴㡡㘲〸㉤昴㡣昲㑥㄰㐱〴㑣㠷㌳扦〰㍦㠰晣挹ㄷ㈰㤱㜲搳〲ㄴ㠴换昵攱㈲㕢㥦搵て㈲㉢㍦〴㈲〸愵㕢㌰㝣㤸っ㜷㤱㠱攸㥡㌳㥢晢〸挸㤹㉤㉤搶捡㕣ㅦ〳㌷捣㜵つ㘸㕤㝣㠳戹㍥㡥㙡昹〹㄰㐱㕣㥣㌴ㄷ挱昰ㄲ收㈲㑣搶收晡㈴〵㄰㉦挷捣㜵㌷㉡㑥㙥㉥攲敡㘶㜳ㄱ㕣搷㠷㡢㙣摤㕣昷㈰㉢敦〵ㄱ〴摥㉤ㄸ敥㈳挳愷挸㐰㉣慥捤昵㘹㘴ㄶ㔹㘰〸敢戶㔸㘰㥦㐵〷㔸捣〴慤㝦愱挱㘲㥦㐳戵晣㍣㠸戸ㄱ㈴㘹戱㉡敡㤶戰㤸㠳㘶㙤戱攳ㄴ㐰㠰ㅤ戳搸晤愸㌸戹挵愶搹ㄷ㑦捣挳〹愲昱晡㜰㤱慤㕢散〱㌲㍥〸㈲㠸搴㕢㌰㍣㐴㠶㠷挹㐰昰慥㉤昶㐵㘴ㄶ戱ㄸ攲捤㉤㉣昶㈵㜴㠰挵㠸收敢㕦㘸戰搸㈳愸㤶㕦〶ㄱ户㤰戰昴㤵㈸㐳捦㘶扣〳㈴改慥㥡㡥ㄲ㥥㍦〵㡢㠷捡㜸㌰㔷挵㐱捥㉣摤㔷㤸愳㈳づ㥢攱㔴㕤て㍦㕡㘶㤳愱戳昹扥敢㈰慡㝤㘵㈲㉣愹扢戱攵㔶㍣挶㙢攱㜲ㄶ敤㑦つㄶ㘲ㄴ散挳㤴㝢ㄴ㘴攵㕥扢散戹扥㙢〵㍤攳〰愳晡㈷ㅢ㉢㤵㕡㍦㘴㕣つ㠹㉤扦㐹挵戲㌵㈸㘲ㅣ㘱搸愳㜰戸收ㅥ慤改搱ㄸ㍥愳摤摡㕥㙤㙤晣㑣〱㡦㑥ㄷ挱㡡挵晡昹㔶攴挹挰㔴㍣ㄶ扥㔳挵摢敡㤹摢愳㡣昱㕥㘴㤶敢㥢㌹㈲㌱㈹捡愲㈲㔴戶慤㑤慣㑤〴㔳㥢㝣晡㝣㌴㉡㤷愳㑢㌷挶愰敢昲㍡挵㑤挹捥摤㜸攴搷㐹ㅥ〳㈹ㄴ敦〰攵㠰㜲摦〰㌹㘳㘴ㄸ㈱㤱㔸㈴㈶昷㌸敡㍢㔰慦捦㉤晣㘴改攷扥㠹㥡㔷愰㈶晥ㄳ㘴敥㕢愸敥㐲㜵〳戶㉤扥て㜵㤴慥愳ち晡昷㌶昹ㅤㄶ㍢㐰㠴㍥〴㔸㝡㠲㈵㍣㕣慤㠲㠷〰㔷慣搸〶㉤戹㑥㤰㑦㐹㑥㍥攷㔹っ愲㠶㜳ㅤ㥦㉢扡㜹愶㈲㕤㍤㔳㤱㝥㥤愹㐸摦捥㈴攸愸㌹㑤㘲ぢ扡搳㠴摡ㄴ㑦愲㐶㝥ㅦ愴㔰愴慦搶㠳愵㈹㈴昵㤶㔴㔵㔲戱㈲㝤昸㠲㈶㉢㔹晦㔳㤲ㄵ㈰㐲晢㘷㤶㥥㘶〹㡦搶㠴晥㔹㙢搲㠷㡦㌵㙢㜲ㄹ㙡㥢㌵愱〷㘶㉡摥慢㕦挸摣㔷捦搰敤㌲〹㍡㔰慤挹愵㡤㥡晣ㄲ戵昲㔷㈰㠵㈲㝤攸愲㥡㝣扥摥戸㡤ㅤ㔶㤳㍣㐷戲ち㐴㘸扦挹搲㙦㔹挲愳㌵愱摦搴㥡㥣搷㔲㤳搵㉤㌵愱㘷㘴㉡搲㍢㌲ㄵ改ち㤹㡡㜴㠷㑣㠲㡥㑤㙢戲慡㔱㤳摦愳㔶晥〱愴㔰愴㙦㕢㔴ㄳ晡扣㠵㌹戹㤰扤晥㑣㜲〱㐸㤱㉥㔰㌷扥㠸㑣㘷愶㥢㙢㥥㑥㤳㑦㐳㝡攱慡愸戰㈳㝣攷愳㜷㌱㝡慦摣搱捤㡤ㄲ敢㜹捦㡢昷㙦㕢㝢昷挳㈷愲昷捤扤㑦扤收㙤挷㙥戸㙣挷㡦て㝦收散昶㥢晥ㄲ㐹㝣攱㉡挱戵㕥挴㤳っ慦戵㐳摢㤶攱戵㐲搴㤰㡣㉦ㄶ㥦㠰ㄴ慤捤摦㤰㠱㌶㕣戶戱㌱愱㡣戴っ㙤戸搶㘳㍤㤷慤つ搷㝢㉢㙤㡣挵戴挹㐶つ挹㘰㘱㤱摢㐴㙢昳㙦㘴愰つ㤷㙥㙣㑣㈸㈳㉤㐳ㅢ慥昷㔸捦㘵㙢昳ㅣ㝡戶搲收挴㝦ㄶ㤹㥢晦㐴つ挹挸㕦㤱㕢㐵㙢㤳挱㠶㠱㌶㕣扥戱㌱愱㡣戴っ㙤戸收㘳㍤㤷慤つ搷㝤㉢㙤晥戱㤸㌶㝦㡦ㅡ㥡挲㜸摣㉥㈷ぢ攳㌵晣敡㑢㈷㙡㔸〴ち敤㔶㔸捤搳ち㔰挱慥㔶昵㈹摢㠱摢戸㠷摦㕤ㄹ㘱挷ㅤㅣ㌱昶攸摣㐰搰㠹搷㤱晡㝤㑦敡ㄲ㍢攷慣晤ㅥ㉥㠰㙤搶㙥ㅦ㐱挱㑡ㅥ扦ㅢ㈱㔸敦搵㕥づ㔷㜵攰㥥㙣ㅡ㉡昳㈲㡡㙢㔹扡㈵攴㔸㠷收㈵愲㈸ぢ昶愸晦㥣㥡收㈵晥搴攲㠳ㅡ㉥㘶挵㕦㌱㥤攱㘱㜲㑢敡㠴ㅥ㕦㉡㥤㤲敤㔸㤰〵敤挶㐱ち戲〳㐵捤慦㐹㑡搰㤷㜰扡㈳ㄹ㝦㘹㈹愳㍢㉥愳㤸㤰挱ㅤ摣㈰攳㑦㉤㘵慣㠸换㔸㤹㤰挱㝤搳㈰攳㡦㉤㘵㥣ㅤ㤷㜱㑥㕣㠶㐱㔵㤷㙤㜳昰愶㔶㘰㜵㐶㝦㙢挷㌸㔰㙦㤵㝦㘹搷㉡慣㄰て扢慤㐲㕦㐱㐳㔲㠶㕣ㅤ㘵㔸㄰戴ㄴ㠷㈱搷戰㤶㠶挲晦㤴㍣㉦捡戰㈰㘸〹捤㜳㍥㙢㘹〸㔶换㔷㐶ㄹㄶ〴㌵搵㍣㍤慣愵愲慣㤶ㄷ㐴ㄹㄶ㠴ㅥ〶㙢摦〹㔲㑦㐵づ㐷㝢愲㡢㤰改捣〸㍤㄰戴挶戹㌸㈰捤戵㌶攴搲㐳㘹攲攲㤰㌴搷扡㤰㑢て愶㠹㡢㠳搲㕣㤷㙡㉥㠳ㅦ摥㤶挰戳慤攳㥥扤挹扦慢搸㠹扦㤳㤸攳摥捡㈰攰ㄳ㠶㐹戲改慤愷㈶㡢㙥㈴て㔱㝣㡣㥦㘳㍤晤て㜲愰㔱挳㜵㠴ㄲ㠷㈹㔹愴〴敤㐷㠵挵捦昰〵㝥愵摥㐰㤳改㠶㘷ㄲつ戴㤲㙥㜸㍡摥搰晥㕦摢㜳昷昶</t>
  </si>
  <si>
    <t>Assumption: Data Series 1 (B18)</t>
  </si>
  <si>
    <t>Cell: B18</t>
  </si>
  <si>
    <t>f8a0fb06-f510-4737-9ba3-433637865a9f</t>
  </si>
  <si>
    <t>㜸〱捤㔹换㙦ㅣ㐹ㄹ敦敥㤹敥改㙥㝢散㈱㡦㘵ㄷ㌶挸搹〷㘱搷㘶昰挴捦㙣昰ㄲ㝢㈶昱㥡㌸㜱㤲㜱ㄲ㠹换愸㘷扡摡搳敢㝥㜸扢㝡散ㄹ㌸㉣㈷慥晣〱〸㉤ㄲ㥣㌸㉣户ㄵㅣ戸㠳㔶㐲摣攱捣〹㠹㠰㠴戴ㄲ㐲攱晢㔵昷搸㌳敤㠹攳㘴㠳㤴㜲愶扡㥥㕦㔵㝤捦㕦㔵㈴㔹㤲愴挷㤴昰㐵捡愳昰㝡扤挷㘳收㤷慢愱攷戱㔶散㠶〱㉦慦㐶㤱搵摢㜴㜹㥣愳〱㕡挳愵㝥慥㌶戸晢㐳愶㌷昶㔹挴㘹㤰㉡㐹扡㙥㈸搴て㈲昸㤵晡ㄵ〳戳挶昳㤴㙤㔷搷戶㥡ㅦㄲ搵㝡ㅣ㐶㙣㘶敡㐱㌲㜷愵㔲㈹㔷捡昳㑢㤵挵昲散捣㔴戵攳挵㥤㠸慤〴慣ㄳ㐷㤶㌷㌳㜵愷搳昴摣搶㑤搶摢づ㜷㔹戰挲㥡戳㜳㑤㙢㝥戹㌲扦戰攰㕣戹戲㍣㑥㑢㑢户慢㙢㜷㈲收昰ㄷ㐵㔳〳捤慤敡㕡昹㌶㡢㕦ㄴ捤〲搱㈴㤲戵搰户摣攰〵ㄱ㔵挱摢㠵ㅡ㙢戹㄰〲㘳㤱ㅢ散㤴㘹摢㐳㡣愶摡㔲㜹㤵昳㡥扦〷㜹㔶㤹攷摤㘳㡥㑥㌳つ扦挶攳㍢㔶攴昳㜱ㅦ晣㘳ㄱぢ㕡㡣㑦昸搷扢㉤收愵〳戹敥㍦戰愲摢㤶捦昲㈸㑣晡㠹っ㌷㙣ㄶ挴㙥摣㉢晡昷㌹扢㘷〵㍢っ㐳㔴㝦扤攳摡㜲㍥㑦晦愴摣愵㔱㍢ㄳ㠲愲晤昸搵戶ㄵ挵愲〶ㄱ㔶㐶㡤ㅤ㔰ㄷ㜱㡡愱㝤㐱愵愶㌲戳㈰戳扡敢摦㘴㔱挰㍣㉣〲㐹㑥㘷〶〹〶㈵㜲㌸攴㔴晦㌸㤰㤲㍣㤶ㅡ〱捥㠲㔵㌴㌰敢摡㉤慢㝢扤ㅢ㐷捣㘷㌳㥢敥㉥昳㕣挶攳㤵换昳攵捡挲晣昲挲摣挲攲攲昲㕣㘵㝥㜹㝥愶摥戲㍣戶㜲戹㍣㕢㔹㥣慢捣㉥㉣㉦㕤扥㜲㘵㤱搴搵㌰㠸㡡㘱㠲摥ㄸ㘵挵㥡ㄵ㕢㔳㜵㤲ㄹ攳㔳ㄵ㘳ㅣ㥤㐵捡攴晣扦挸㈸〷户㠰搱㑡挳㔲ㅡ㑤愵搱㔲ㅡ戶搲㘰㑡挳㔱ㅡ㍢㑡愳慤㌴㕣愵昱愱搲搸愵㌱晤愴ㄷち㑡㥡㉥㘸捥㥦㝦㙡捣慥㝤愶㕦㝡晦昳晦㕥㍤㌷㍥㐹㠳敥愶挷慢㐵搶〱㈹捣㤱㉥搲㥥昱昷㜴㈳㈴ㅢ㜴ㄶ㥣㈵愷㔲戱ㄷ㘶慤㌹㑢挵搱㑥㉢敤ㄲ㡤ㅤ㜷ㅥ扡㠱ㅤㅥ〸昱扦扥㘶㜱㜶愴つ搳㘹摦㕡搸〹㙣晥昵搱㥤昵搸㡡搹搷戲㝤㐷㐴㡥㑤㑢ㄸ㉤搶晢㐶㜶摡〳换敢戰搵慥换㐵昷㠵㑣㌷㤹㐶搸㝣㜲敦㡤㠸㝤㜴搸㝢㙣㐷慢攴㐳昷〵敤㘳愷㑣扡㔲〵愸戶㐳捥〲戱晥戴㝦挷㙤敤戲愸捥攰㠱㤹㉤㡥㝡ㅥ㕤愹㝤㑥㙦〵㜴㔰戲㌸晢㡤挱㔶㠷戴㤳〵㌶戳㘹扦㝢㉣㡡㝢摢㔶搳㘳慦っつ㐹搶愴㡥搷㠶㥡㙦㠴慤づ慦㠶㐱ㅣ㠵摥㜰捦慡扤㙦㤱㑦戰㙦㠵㌶㈳㤳捥㈳㤱㝦捦攵㘴㔹㝡㜷㤴㕤㠱㉥㉦ぢ㐱っ㠸ㄸㄶ晥敡戰摡㤵敦搱改攸ㄴㅥ㠳㑥㉡㙦㍤㠵㤸愰ぢ㌲敦㍣㜹攰挰㤹㄰慥㌰晡㕢㑦ㅥ㉤昶㜸㈸戹晦敦㘰㐵㌹㥢㥥晥晡㍥昹捤て慣挰昶㔸㜴㘲戰㤵戱㈳〳挶愲晥㠳ㅣ挲ㄳ戹〷〷㈵㜷攵㥥㝡攰摡㜱㕢㙢㌳㜷愷ㅤ㔳ㅢ〵㘴㕤〷㙢㡦㈵攳っ㌵ㄹ㘷㤱㥤愳捣㌴㈵敤㍣〶㘹愶昱㑡㔲㔷攱愵㥥摤㈳㈳攴ㅢ㈲〲㔰戸收慡㝦㈳㡣㜸㉥㌷敡㤴ㅦ㔸扣ㅤ㐳㍤㑦散挴搱㡣慦㈲㝢㤵㌲ㄵ㉥昲愹づㅦ㈷捥㈳慥ㄵ晤ㅡ㜳㉣㐲ㄳ挲扡㘵㑢昵㤳〰㔵㘳扣㘵㈰㤲㙤㤰慤㜴㌵㉡㤱昱㡦晢搰㝥搶㡤攱㤴ぢ㍥挵㐴㤲㤲㐱㠳愶挵慣愴㠴㤹㐵搱搶㥦㙤愶㌵愲㔰ㄲ挵〱㉡㘳愲㈱愱㐴㠶㐳昶㈲攵搲晣攴㐳搰摥ㄱ戵戴慣愲て挷㌶ち戹昶㍡ぢ戶㝢㝢㡣㘳戸慥㥤挸捡慣㜹㠱搸㔶慢㜹㍦㜶㍤㕥愶㥤慥㐷㘱㘷敦㐵搲〱㉤攳㌵捡晡㐹晤ㅢ㘹昱改捦〴っ㔹搸㠷㙣ㅡつ㍡ㅣ搵搰㘲㈰ㄶㅡ搰㔶㈲昶㤸㍥㈲ㄹㄷ攸㘳㥥搴愷㈲戲㍥ぢづ㠰昱㡤晢挴愱敤㠸〹㘴愳㡢ち㜱扢攸㍦っ愳摤㘶ㄸ敥㐲㥦㈶㐴㡤户ㄹ㡢㠱ㄶ挶㔲㜴㈴㔰㤰㉣攷㜲㐳㜱㝣〰㔶〰㘷㘸ㄷ㈹㉢慥㝡摥㔴㥦㈲搷摥愰愶ㅣ㜰换㥢㔴㤸㈲〳昲慤㤸㘲㐰㠳昰ㅢ昳㥢㕥慦戱改〶慣㐱㄰愷摣昵㜸㔷晥㉢㜱〱㜰㐱晢捦㉦扥㈸晤㝢㘹晤㘷扦慣㉥㉥晤攴〷㥦挸㝦㐹㍢戲〰㐰㠵㐳㜹〶挷㉤昸敤㍣㜰搹〱㌴㙤挲㈱戰㔷敤昰㌸ㄴ㘶㔱㜴㙡攱敤㌰慥戹㝣捦戳㝡㘷㥤戴昰戰捤〲ち㕡ㄱ敤㍢搳ㄶ敥敤㌱摢㜰敡㘱㈷㙡戱㡤摡换㄰搴㠸ㅤ愴㕡㈲㥥㈹㌲愵攷昳搳ㄲ捤㈴㐷㑡㐹㔲攱㕤戳收㈶㈰攷㐰㘸ㄴ㐵㠸㘲昲㠸愳摢㙥散戱㌱㐷㠴㈵㔱搶ㅤ攲㈲㈱〱扢攰㙣户㐹つ㙢㐵㘷㍤㜲㙤㡦㌴〰挲㌸㤷っ摤㘴㍢ㄴ昵敦㠴摣〵扡㉦㍡摢㤱ㄵ昰㍤㌸戰㔶敦捣㔰㑤㜸㍡搵㔹㜳〳㑥换〸㈹愲㍣改搴摢攱〱㕤昸㍡㝥戰㙥敤昱㤷㐲㉡㌰昶㈴〹搱挸㡡慣㈸戲慥攸捦㉢ㅦ〴㌴㐹扡㑣扦㍣㌲㈱㉢㐹㐵っ捣扡愴〱㔱㘵昰〴昶㌴㜴㔱ㅡㄹ摡づ㙦换㈲㝥㝦ㄳ㜳㉥㔱昶晤昵晢ㅢ㐷㐸晢㑢㕤㜹㔵㐴敤㔳〳ㅢ㌸换㠹㐴㔵〰㜶愰㌹㘴㠱㈴㜱搴戲敡㘷㍡㘲っ㌴㜱攲愸㜸㠳㘲攳戸戳㘹㌵㤹㤷㜸愴㠹愴〲㙣攵㕢ㅥ㑦晢慡愱敦㕢㔰㉤㕣散挴㉤㐸㜷㔶㍢㜱㜸换つっ㠷㌲愱㝦㘹㤳搵愵㈶慢㥢〴㕦攷ㅥ愰扥㈸㠳㔶戸㘳㐵㙥摣昶摤㤶㡥ち攰昸㑢愱㤳戸㥢ㄱ㌳晢愹敦㌳戲搱㍣㠹愹㈴敥㌲〱㘰戰づ攲㈷捤㔵㘴㡤晥攴攷㐴㠲攴㘱㐴摣㌳摥㈱㙡慡㜸㕣〱愴㐰㝡搴㝦挲㜹昴㌱戵〸㈷㈴〳挸愱摢㜸ㄷ㈳搲㤴〷㤶㍡ㄱ㈶㈰㉣㤹㥢愱㘵摦戰㕡昴㐸㔳㐸㥦㘸㜴ㄲ㉤㕣㑡㔴〲㜰慢搲㕤㠰敥ㄸ晢慥捤㈲ㅤつ㜵㝡ち捡〳昲㘹㠹っ㈹㠴攵㈴㔵ㅤ搳㐷慤戵搱愷昵㔶ㅡづ〷㥦㥡㌶㡥搱晦晢摤攵敦㘱晢愶㠹户づ㘳ㅡ搹っ㘵㌲㈰㈱捥㤳ㄹ昰㙤っ㈸㔳愶〲㝣㘴㘵㌳㡣愱〸㘹攱攲㥡ㄷ㡦ㅢ㐰㜷㍡㈱㈱〱ぢ㔵㜱㤰戱〱㌸愷㈵㐸㑥敦扦㤸㘸㜵搲㜲㘶㥢㠹ㅦ〵㙣㠴㌸ㄴ㈵㑦愲搶戲㔷攱㘳换ㄲ㌱扦捥〴捥㤳㠱㙤戴敦㔰㜶ㅥ挶㐲昴ㅢ挳㉦〳㔹戴㘳㥡㐶㠵㐶㑢愶っ搸搳㘷〱愸㤸㈶攴㘷挰挱ㄹ㜳㤴挹昰㍥㐲ぢ收搳〲㜸愸㐲㠳戲㡣㌹愶戴搰㜴搳㠱晡搶攳㥥㐷㉥〳㐵㌰㉡㈹㐱攴㐹㌷㠹㉦㡣攸敤㌰㥦扤愱ㅣ捥〵㈴ㅦ㍢㤷戹晤㠹㘹攸㠱㜵愸㥦ㄳ㕣㜹攲㝣㥣攰〸ち㘲づ㤲戶㐸搹戹㕢㙥㉢ち㜹攸挴㔳㜵ち㝢攲㌹挵㤱愴搹㔵昵㡦㐴㜱攴㥡㌸㔸㍥挰㕢搵㍥搰愵戹ㅢ㠴〷㠱搸㡤捡昱愸㈰昸㔵㈸㘰㤹㈴㘸㔰攱㑤攲㘲愹㙦㐹㈵攸㈰㔲〹㝡㠸㔴㠲搲㈱㤵愰㜸㐸㉡㈴㜴㕡㉤挰㡥攴愶摣㤲㙤㤹攵ぢ〵昹敤捣㥤昵㤸昶ㅣ㠲㝥㑤㠳搸搵㍦搰㔹㑦㌷㘹㤸㤵㤸㉣〰摥ㄵ㉡ㄸ敦㔱㘶㤶㐴㠸愴㤲㜶㤵戲㌳搵㌵㐲㥥㐳㠰㔷晢㉥戵㡦㔳扢戰㄰㝡㐸攴摡ち戵㝣㠵㕡㠶ㅦ〶戵昷愹㜹㠲㥡〷愲㘸〹㕡㠹攳ㅡ㠰户攲㉤捣㔸㐵〹㘶㔸㠲㤲㡡捥㉡ㄵ㡡戹㐹散ち㐱ㄴ摢ㅣ㐸㡦㠴㍦愰㠶㙢㐹愳㥥㝥㑢搷㈶㜱㠴愱ㄹ㥦晣昳搷㔷摦晥昹㙦ㅥ愷摦㡦晦戴昰晢ㅦ晤敡搲昲戵搵昷扦昸㘸攷愲㜴㑤挶敡戸ㅢㄸㄷ㤱〱㝤㡢慤挹扦㑢昱昳㌱㘰晤摢戴攳ㄸ戰挶愶㥦〶慣〷ㅥ愱愰㕦慡〳㠳ㅡ㜳㤲㘶㐸㤵㑣捡昵㍣愱㡤攳ㄴㅦ㈳㝡〶〲攰愷愸㐸㤰㍦攵㉦挱㐰㌸㠸扥〷㌶㐴つ㤳㌵㘷㉢㈲㤷㕣㜰㌶㌸挱㜴㕢愷㙢㉣摤ㅤ愲攰㘵〸㥥攴ㅦ昲〸㕡〸つ攴㈸㤵㤱愶〹㥥㥣㠰㙢㡥昸搱㝦摤㔱㄰㔶㥦て戱㡢㘰㥡㤷㍦㈳㜱挲㔵㤸搲㡦愵昴㍥愹㐸挶㑤摡㠸㈹㍣㈷㘵愶戱㐹搵㈴昸㡡㜷ㄲㄵ摤愷摥㈷㑣敥㉣㐹㌴晤敦ㄴ愰㤹㘹て晦㤹㌲㉡㌸づ㠳挷摢㌴㔵挶攲愰㘱㙣愵〵㔴㘴搱㠵搶扥㔷愲戲㔴挲㄰㘱㐱㜷愹㔰捣愹昸㕣捤㜸㤳搱昸㜶㍡晢㜸㜸㥤ㅥ〳㝢㤰㔸㡥〲㝢ㄲづ昳捡㝢捦㐷ぢ捡〹戳ㄴ扦㑦㠹摢㕦㠲づ㑥㝦ㄴっ㐰㜱㡤㝥扡㉣㡤晤て㘵㌵晤㈸</t>
  </si>
  <si>
    <t>Worksheet: [Formatted_Assembly_Line_Sim.xlsx]1.2_3. lắp_dao,_bắn_vít</t>
  </si>
  <si>
    <t>Cell: C18</t>
  </si>
  <si>
    <t>Maximum Extreme distribution with parameters:</t>
  </si>
  <si>
    <t>Likeliest</t>
  </si>
  <si>
    <t>㜸〱敤㕣㕢㙣ㅣ㔷ㄹ摥㤹摤㔹敦慣敤搸㡤搳㑢㐲㉦㙥㑢㈹挴挱㡤搳愶愵㐰〸扥攴㔶㥣搸㡤㥤㤴慡愰捤㜸昷㡣㍤捤捥㡣㍢㌳敢搸愵㔲㉦戴㐵摣ち㔴㉡㔵㑢ぢ愸㐲㐸昰挰攵㠵晢ぢㄲㄲ〸〵㠹〷㜸㐰攲愱㈰〴て㕣ㄴ㠹㤷㍥㔴挰昷㥤㤹搹㥤摤昵㡥摤㙤ぢ㉥昲㐹昷昸捣戹捤㌹晦晤晣晦㤹㘶㤴㑣㈶昳㙦㈴晥㘵捡戱㜰昵摣㥡ㅦ〸㝢㜴搲慤㔶㐵㌹戰㕣挷ㅦㅤ昷㍣㘳㙤摡昲㠳㉣㍡攴㑢ㄶ摡㝤慤攴㕢て㡡㐲㘹㐵㜸㍥㍡㘹㤹㑣愱愰慢㘸攷㈴晣つ挶て㍡㐷昵攵㤰捤㑦㑥捣㉣摣㡦㔹攷〲搷ㄳ晢㠶捦㠶㘳て㡤㡤㡤㡥㡤摥㜶挷搸敤愳晢昷つ㑦搶慡㐱捤ㄳ㠷ㅣ㔱ぢ㍣愳扡㙦㜸戶戶㔰戵捡ㅦㄲ㙢昳敥㜹攱ㅣㄲぢ晢㙦㕤㌰㙥㝢捦搸㙤〷て㥡㜷摥昹㥥㍥扣㍡㜳㙡㜲㘲搶ㄳ愶晦〶捤愹㜱挹户㑤㠹戲挵扤〹攱㔹捥攲攸攴〴晥㑢慣ㅦ㑦㜷㡣捥㉤〹ㄱ昰搵挲ㄳ㑥㔹昸㍡〶昶摡攳扥㕦戳㤷〹㍣摤㍥㡡慤㤶つ㍦搰散㐹㔱慤敡㜶㍣㙢挱㥥〱散慡挶㕡㥦㍤㈷ㅣ摦ち慣ㄵ㉢㔸换摢昳㤸愸搲㙦㥦昱挵㘹挳㔹ㄴ愷っ㕢㘸昶戱㥡㔵挹㠵㈹㤳扤㌹㥥㈲戹㌰戹晤搱㜱摦㥥㕣㌲㍣戹㈲㥦㠰㐹改㝢搴㉢㌷昷扤戱昳扣㕣扡㝣〳攷扣愹㜳㍦戴㥣㌵扣㝡捦㤱捥㍤愳捤㌷慦攰㤶捥晤ㄳ㌰㙡ㅥ昳慥捥㘳㈴㈸㥢㝢㉢扤ㄱ㝤㑢㠸㘲㌳㝡㥥㔹て戳〲㌳㈲㔰㉦㌲敢㘵搶㠷㑣挹晤ㄳ㕣㤲ㅣ挸㈶戵㘴愸愵〵戵㔴㔶㑢ㄵ戵㈴搴㤲愹㤶ㄶ搵搲㤲㕡戲搴搲晤㙡改㍣晡挴愹搰搳愳㐶改㔱愳昷㥢㉦㝥敢㕦㔳㥦昹晢昳㉦㍦戹摡㝦㝢摦づ㜴扡㍢㕡搴㤴㘷㕣〰愹㌵愸昸挰攸㝥晥摢㤸㉢挰ㄴ收㐱昳づ㜳㙣慣㜲㜰扦㜱慢愱㜱㕢㈹挸㙦㈲㤴㐱昴敤㌳敦戱㥣㡡㝢㐱攲敥敡〹挳ㄷつ挰㡤㐴㙤ㄳ㙥捤愹昸㙦㕢扦㜱㉥㌰〲戱愷戵慤㌱㐹摢戰㌹戰㤵昰攵晢慥㙤ㅤ㜶搶愸搶挴昸慡ㄵ㌶㕦搳搲㙣捦㝡敥㐲攷搶愳㥥㜸愰摥摡戶愲㜱〸戵ㄵ㌹㜷摢㉥挳愶㜰㕤挳㤳㑢慥㉦ㅣ戹扣ㄱ㝢搶㉡㥦ㄷ摥㥣愰㐸ㄴㄵ戹搵换搹ㄴ㜱晤挸㡣㠳㡤㠲㕢㉢㌷㈴㙢捤㈳慢〱㤸㔹㔴戰摥㘵攱〵㙢昳挶㐲㔵㕣搱搴㈵㝣㈷ㅡ㜶㌷㔵ㅦ㜵换㌵㝦搲㜵〲捦慤㌶户㡣㔷㔶っ㐸㥡捡㐹户㈲㜲戹㡣ㄴち㄰戸搹慣愲㘴昶㜶收〵㠹㠸〴㡡挹挸㔷㌵㤳摤攸㘹散づ扢愸ち搲愴晡昶つ㈶攳㝡愵㡣㐹攱挰挴㥥愸㍦昸搲㜷㙥㌰㙤ㅤ㜳㙦㙥㘷㔵ㅤ㡡㜶㝦㘴㐵㌸挱㜱挳愹㔴㠵㤷慡晤ㄴ慥㐸ㅦ㐰愶㕤㠲㐰攸〸㍤慡㍡㘵㔵㔹搳㉥㔸㤵㘰㈹扦㈴慣挵愵〰㜵搰㤰㠵〲㐱摢㤶昴换㔰愵敦㘴㌶㠴慣㔸捣攴㜷戱㔳扥㠸㤴搱㈸㥤㔲㜸戹㐹㤰㜳㕣ㄳ㉦昷㤹㐷慤㙡㈰㐲愱㍣㘰〲㈳愱㔶㤳攸敢㈷㠹㝡㐶㌹㔴ㄸ扢捣㐹㔰愹㘱㌹挱㕡㠳㙦摢戸㈴㈴愲㙤㔹戰攵㘴〱㐵㐱戳㍣㐸攱㌵㄰㑤㡢㌴㐸敦㥣㈰㈲戲㐱㡡㘶挷捣捤㐴挶晥㈹㌲〲晤㤳㐴挸摥晢㍢换〸ㄲ㝢㍢㤱㜲㔰㐷㝥摣㤶㘶敢搹昲愱㌴扢ㅣ㠰搳慦㘰㜶㈵戳慢㤸敤㐶愶晣ㄹㄲ㡥㔲づ攵收愴扦つ捦晡搵捣慥㐱〶昹愴㔳收㐴愲㡡㌶搴㘶散㐸昶敢㠷㥤㉣㡤攲㔰ㄴ搱㌲慥摢㤹晤戶㐴㜴㘴㜵㙥つ㕤㥢㤳㍡昶ㅤ㥤㘹㌳戹ㅤ㔲㘴㑡搷攴㕥㌷攸㥡〴〴扢㜶愹户慥挳㔰㝤㤸搹昵挸㡡晡つ捣愱㕣㘸昰㙥捥愲愷㐹昹㤶㌰㡢㐲㘳愸㑢〵ㅦㄱ㌲㡦〰㈹㐲慥敤昸戲㙤㐳搳ㅣㅣ㌱摦昲㌶昴扥捥晣ㅤ㈱扤㐵㙦㙥敢ㅤ晡㡢㕥愳ㄵ㝤㈳搸㑢昹㝤㐷ㅤ㜳ㄳ㥡昵㜷㌰扢ㄹ㔹㡢㡥攱改晢戵㝡ち愴㔹㙣㈷㌰户㤳㕥ㄷ㘹攵捥慦㉤ぢ愹㠱晡捣㜹挳㕢ㄴ〱㍣ㄸ㈷愶㘰ぢ扢㥥㈷慡㌸搴㔶㘴〵捦㉦㔷㌶㔷晡㐷㍤搷㘶晤戶㡤散扦㈵ㄴ㐳㉥愷㘶㌳㉤㌶㜲㡡慤㤹昰㌹㈵㈸㠷㍡昸搶捥㐲㈲㌱愸㤹扣㌸㉥晤㝣戹㉤㐹扡㤰㈴敦〲㔸昵扤挸㈰㈵㤴摦㜶㤴㈸晢搸敤摤戲㕢戳挵㑡て㕦捡改愴挵㠷搸㈶㐷㝡㐳㠷敤〴晣〷㝥扦㍤㘷搹㜵㘱搱㙢捦ち慦っ摦㠲㔵ㄵ挵搰㉤㑢㔱戳㉤㉢摥㈲戲㈲㥢㙤㍢㑦愷昸搷㈴㥤戴㐸㠹㔴㙥㑦㙤㑣㌹㡢㌷㠸㡡㙥㐸ち㤵ㄴ搷㔰㕤〲㤱昲搸㜷㕢挴㜴㈱㘲㙥〱攰昴晤捣挶㤸ㅤ㐰愶晤ち㤲㘶戳㠰㘷㌸慣㘷㠵㉥敤㔲㈹㔳㈰ㅡ愴㡢昰㘲㐷㘱㜵㤰慦戹㥤搹ㅤ挸㕡捣ㅦ㍡㈰㔳〸㔱愲㍣㐱㠸㌲㡣㘱㥥戵挴〵搲挰づㄳ㠱愵挹㥡ㅦ戸㌶㈳㑢晤收㤴㝢捡つ愶㉣㝦ㄹ㤱愸㈱㌳㉡摣戳㈴ㅣ㔰㤷〷摢愷愵捥㕤㕥ㄶㄵ摤㥣㜳㙢㄰㙤㈷愶戶挲挱ㅣ攰㠰㉤㈹捦收慡㠲搴摤昹ㄸ㔳㈸㠰戴昴户搲ㅢ扢㈹敦㌷て㝤〳つ㠸捥㕢㐱㔵昴㥡㈱搳戱㕣㌰〱㐵㐴づ㉡㍤收晣㤲㈷挴㔴扦㜹捣戳㉡㔵换ㄱ㐴〶㙣㑣〶敢愶挵㈲愲〴戳㉥㘳㠰慥搳㙦捥㝢㠶攳㉦ㅢっ㈸慥敤㙣㝡㤲㘱ㄱ捤㥣戰ㅣㅦ慦㤱㔸㘴㜹挰㥣㕢㜲㉦㈰㘲㕢戳㥤㘳挶戲扦㈵戰㐲愲て㤳㐴㡤愲㉡慡慡ㄴ搴㐲户昸攱㠱㍣㤳㈱敦攵㤸㐹㕣㘵㌴晡捣㔳戴㌷敤晡㈸㐶㐳㍢㥤㙢敡㐳昴愸㕥㤹㑤㤵挲攴㔴晤㑥㡥㜹㉦戲扢㡥㥤㌹搱㠸捣扤慥㤸戵㐶㉦㝦㡡㡣㤷㘴㔱て㠴搰㐷户㈳㈴ㄵ搶㤱㜲挰㠱挰㌸㥦㕡挹慦㘸捡㍥愴扥ㅤ㡤攲㔱㐴㤲晡捣㘹㘳㐱㔴ㄱ㡦戶㡤㘰㐷昸㐰㌳搶㌶慡㝥搴㌶改摡戶㐱搲㈲㔹捥㤵つ㔲昰㜸㉤㜰㑦㕡㡥㙥㈲㤳昴ㄷ㔵ㄹ慢愸㌲㔶㘵㔵㥦㜹㥡愱㐱㔹收㕣敥愲攱㔹挱㤲㙤㤵ぢ㝣㘰昸㙥㑢搰㈴㤸㥣㤲㌷㑥戱捣ㄸ㙥戱收捦挰㘴昳㐷㠱敥㔱挸㔱㠲㡥攸〷攵慡㑡ㅥ晦㤴㉥ㅤ㑢㄰㌰搲㔳慡扦ㅦ戳㘹昲㜶〴㐴㡥㑣㤷攲㍢ㄸ㤷ㅥ㐶㑤㈸㠴㠸昵ㄴㄲ㠱㔷㌰㈱攴改攲捥㥢㘷ㅣ㉢〰昶㠸戱愳㔶㌰攵〳攵挸㔰㤴挷摢㍤ㄲ慢㠹㐱㈳㜵慤㜰㕤㝢㔳㤳㥡戸戶扤㍤愹㌷摥扥㑥㜳愸㔱ㄲ㡡㘴愳㑥㔲戳慣戳挶慤愴㙡ㄴ愹戸㘳㙤愳愴戹㑤ㅢ㜰愷ㄴ㜹ㅤ㡡㐹搲㑣㐶晦㠰㈴ㄴ〴㝡㈳ㅤ㐵㥦㝤㍡㜹㈴㈲㌶戴〱㡡搴㔳㘱㕤㝦ㄴㄲ㍣㠱㙢㈷ㄵ㔱㡣㥥挰摦㍢愲攲㑣㉤㘸㙡㌱㔶㠷愲㤶昱㙡㜵挶㠱㤵㔰㌶扣捡ㄶ㘱㘹散㉤搴㌰㤲㍢扢搵晥㈱㜸ㄳ㡣ㄸ戱㈱挳㈲㈹㝥㘰戰㈱㤸㉢ㄱ㔱愵㜵搶㑦㔰搷慢ぢ㝣㍡㈹っ㐷㘲㘰㉥愸㑣㠹ㄵ㘹㠶㌵㉣昹㈱㌹愰㝥㕡㤴㜲㔴㌷挷ㄷ㝣愸昴㠰㜲㍣㉡㐹〶搷捤搳㜴㑢攱ㄲ〳挴㙥㔴㥡㉤〷〸敤搶㈷攰挹㘰敢㘰〷㄰〹㐳㈷戴捥㈸㐱昳㈹㠴摢扣〹昲㑥㤷ㄸ㠵㈰㌵㘵晡挷㘱攵昹攷㤸扥㜱㌸ㄳㄷ㈲㈶㘲戸㉢挵㝡〰㜲㤳㤱㐹㜲搱㔰ㅣ㌰て㈵㥢ㄴ㕡㝤㜱ㅤ㑤㡣㝥㥡㝣㕥㠰㕢㍣㡣㘵つ㤰㙤慡戸攷ㄶ㔸搰愶搵戵ㅤ收〹愷㕣慤㔵㠴㔴挵戱慣㤶ㅡ㜹㑢攰㑢㕥〱っ戹㈹〵㉥ㄱ㔰㑥攰㈸挵㉤ㄳ㐹摤摢摤晡㘱っ㤷㐲づ㜳㠴慡㡦〱挸ㄴ户㥣っ㠸戵摤㔳愰㝤戸戳㜱㠱㐱㕥㥥㠳㐸㙢慢愲㉣㥢挶㝤扣㝡ㄴ㔹㜲㕢愲摢戴㍢敤搲㘶㑦㔴ㅤ户挲慡㉤㠱㈳散㌳ㄴ㜸昹㍣㡣㤱㉥戹㠳㤳㘴㉥㐵搱摤㑢て换挷捣㈵愰㐲㘲㐰㘱㡣㤷愷愰っ愰ち㐶愲挱慤㌶慣㙥㠵搱㕦㕡摥晡㌸㌲㠵㘱㘰ㅡ戴攸ㄹㅡ㌸㤳㈸㙦㙣攰㕣㠷㕥㈹ㄱ搲㘴㌰㤵㌱捡㈱㌸散㠱㌴㜰ㄳて搲昳㉥㤴㔰戰㑢㕥っ㡢敦㈶㡥搸㌸〲戹摥ㄵ㉤㤵戳㐶㠰敢㉦捥敥㤶敡昱㑡㠵收㉥晣㜳㕢〲慢戸扡ㄱ㥡愳扢㕡㉥㘵挹㍤搱扥扢戱愵㈱扡㉣㜸㘰㙡昴戸ㄱ㤴㤷收㠲戵昰攲㔶户㈴愱晤〴晥㠸㜵摦㑥㥢㌹攷昰㈲敡ち㘱㕦㍣敦戸ㄷㅣ戹㉥捤攷慤㍦㔰〸慥㔰昶㜰㤱挵捣扦昱㑦㈶㌵愳晤ㄸ㌳㙥㘶搹㥣愰攱㈰攱㍣㌲㠵搲㘰ㄸ攵ㄴ㍡㠱敤㕥扦㌵㐰㍡搹搵㐲㈷㔲㄰㙣ㄳ㡡戳昸㠶ㄱ㡡昲㈳愰㤵挴ㄲㅥ挹〱昳慦㠳昵㤵ㅦ愲㠶〸挷㜳㈴㐶戴敢㔱㑡㐱㥤ㄴ攴搱ㄵて㕥〸昹晦挱㔲捣捤敢戲搳㝦㠱㤹㤵ㅦ戴愲攸㕡愲攸晢㙤㈸㔲㜸つ㐴昲敦㕤㔱㠱てㅡ挳戳慦㈹㄰捥㍤㙤ㅦ㐰摦昴ぢ扦晦挳〳攸㌴㌰捣㈴㙤㌴㠴摡㙥㐲戹㙥㈲㘴摢㑣〴〶敦愵㠹㜰㤲㘳ㄸ挵て㑤㠴挸〷㌲㠳㡡㡤㑤〴挶昶㔲っ挱㐴愸㌵攱搶攰〹散ち㥢晥戱攳戸㜸㉢㝣挴昳愱戴晣㐹㜸愴慥㙣慦㥥㌵㍣挳摥㉤敢㡦㜹〲捡捣㥢挷㑤㙥㌹㠴㈳昶慣摢㈲〷慤攳慢㠸扤散摢晥㤴捤摤㕦〷愶挲ㄴ扡敦㤵㠲㤲㝦ㅤ㥥ㄲ㠵攷㠶捣挷㜶㝤敢搸ㅦㅥ㝣晣㌰㙦慢㐵戴慡敤㐵戹㥢㤰㍤敤〹〴㜵ㄳㄷ㐵㉥攷㠷㌹㈷昱㠹㤲戵㕣ㄵㄳ㠶㈷慤㈰㕦户攳㘲㐸㜸〹挲っ㠹㙦㉢㤸㤸戸昷㄰㥡㤸愳㉤敥㑥昹㘱㤳㜴ㄱ㡥㈶ㄶ㉥㝤㝡㜱搸㔰改愸挸扡戴㌶戵敦㐰ㄵ扤挶㠵㌴㕢㠹㍣㜵㌲㈹捡户㕢㜵摤㐱敡扡昰㈰挳戰㝦㉣愵㄰㝦㈰㠵㈴て㌲扣㄰㈰愵搴㘹ㄴ戴㕢㤰愵㐴搶㕡㐳扣昴〷㙣ぢ〱㔱扦昴搷攵㐷㉣㠰㈲戰ㄸ晢攲扢㍤搱搲ㄶ㡤㔵ㄳ㐳戵搲愶㤹㐳㐱ㅥ㕥㔸㌱ㄶ搷捥愳㄰㈷敤〰㑡㥢㜶㐷昱㈵晤㜶ㄸ㜸ぢㄹ㕢戳改㙢㉢摡㐷㥣ㅡ㙥㝥㐰捦攴愵挲㜰㜶戲ㅡ〷㔲ㄹ愳ぢ扢ㄶ挳㉡收〳㘱戱㍥愸㌷㙡㠲捥㜲㜶攳㔴㡡攰ㅦ扦ㄴ㘲晢㐸㘳敡换㕢㕢愸攳㥣ㅥ㙣㤰㍦搸㕦搷愶㌰㌶摥㑡㡥㠱㠴摤㔴慦㐲㜸㍤晣っ㠶㜰搳ㄹ㐵㙦ㄴ攵戳㜲㄰㝦㘲捥捡慡㙤晡㥦搱㙢挹㔹㘷㌹㥡㘱散㈶晤晦㘱㔴㙣愸晦ㄵ挶摥㈴㈲敦㡤ち搲㌸㘵晣㘴挳㤰つ㈱〲捦㌶㠲㌷昲㘰慣换㈲㐳摥㘱㘹づㅦ慦㠶捤㔲㠲挳敦㤵㙢扤ㅡ㔱ㅦ㑢摢戶户愳〰㘴㙣㐸晢㍡㐴㔰挷昱捤㜲㉢㍥摤收敦挳挰㕤㈷慤戲攷晡慥ㄹっ捦㈱攸㍢捣㙦捦㑣搸㍣攳捡搷㕡㠵摡㡤㠰㐴摦㐷㌱收搴っ〴昶㈹ㄱ扣㔱戱㐸㐶ㄶ㌶ㄷ挹攰㜷㐸㠳㠹昰ㄲ戵㠳㝦㤹㜹㜷捤愸攲搳搵ㄹ昸㍡〳㔶㙤〹㘵ㄷ㝡㥣㕢㙦㘸㄰㜴戸愳昵㈱昸㠳㐴㜵ㄴ挱㌱戹㠵晢㍥㑡戸戶挲愰戹㙦戴㌷㥦㍤扢昳戹ㄵ戵㤷㠰搳捤扤愵㤹㘴昸㑥㝥㤱㕣搴㑢捣㜱㘹晦㌰晥㙥摥㐱换搹㠶㐰攷搱〷摤㜴㠴㡤㔴攱㍥摢㐴昴晢ㅣ㠶㉡攳捣昰搳㡤愸挰〷㠵㕥㍥戲愲昲㘵㙣㡢っ㠰㜲㈶㕦㐶搶㤹慡㕦㔸㡦慡〷敦挲ㄸ昲慢㉥㤰昵㘷ㄵㅥ㌵㐸㤵㐵攵㜹昴㈷搴挲摤㉦戲づ㐷て㜹愴㐰㔹㑦㑡㜲㠵㐷ち戹㥥㘷㌱愰扥㥥晢㔱摢㜹㍤捦慣户ㅥ㠵挶㠰摣㙦㜲晥挱㔸㤹攸㌶㕦敤㌰㜳㤹㉤㈳ㅢ㡣㝢づ㔰㑣㜲㉦昹㌰搴昰㐳㘲ち改搷搱摦㤷て晦敡㈲搳摦づ㉢㔲㌰愲愹㜹ㄷㄴ㡣㜲ㄷ㑦㈵㜷攱愳戶昳㉥㍥戳摥㉥〶㈹㌳㈵㔴㙢㈸〰慡㈵晣㤱扢㕡㐱㠱〰攵㑦㌹挷っ扦愶㔵っㅡ愸㤱㘳㔷㔱攸捦㙡㐴捣晢㍡㙢ㄷㅡ㡦昱愷戰〸づ㌴㝤昳㝡〴摦戰慥㌱摡㥤挵㈷晣㥡㔴㠵㌹昵扤摤捤ㄵ㥢愳搴㘴摡㈷戰敢搷㌱て㌷摤昰㌹㜲挶㍤昸ㄵ㘰㌹㤲捣㈴㐸ㅥ㐴㈱〶㤴㐶慣愷㝣搹㈴㡤㐳摥〲愵㈳㉢ㅦ㝡愲昳愱㐹㔰戰㈳ㄷ昴㤶㄰㡣搸ㄲ㍦ㄵ敥愸捦昲㕤㕥㙦㔰㥥㠸愹昰昸昱昸戳㌱㌵ち戸㠱ぢ㐲㜳㥣㕣㐳㐰㉡㡦挷㥤扦晢扤㠶扦ㄸつ㐸㘰㤵戰㌳戹㑢㜶晥㜸摣昹〰㍥㐹㤳㝤㌲㈴㈸愶㤷攳捥攴㐲搹昹戱戸昳㕦て散慥㜷㡥㤹㉥㥣㔹㈳㐷愴ㄸ晡昲攸㤳昸㍣㝤〰摤㌵㤳挶㐳慦ㄹ㔶㤳㄰㘵摣扣㉡捤㠷㍥摣㠴昱昰㠱昸㌴㉥㜶攱晥ぢ㌴㑣昸晦㠹㌸㠱ぢ㕦㔳㐶㘰攰晢敦ㄵ㐴摡㍤㕤㍥㜱㜰摥㥣昱㔰搱㘳㥥昰㜱愰慣㙣㈹ㄲ㠱㉤㤴ぢ攱扢㐱㐴㈲挵㙥㙥挰㈳㡥㄰慡扣㐰搳㥤收㤴㔱愵㥣昲㐸㡣搹捣㈳つ㥡搱ㅦ〵㜲愰ㄳ㤰戳愰㍦㠶㍣㡣㐲敤㘲挵㈰㠵㥤㤴㘴㡦戳攱〹㘶㑦㈲㉢㉡㤴㙣愴㠳晣㈷㤰つ挴晦㤷㡥攱ㄵ改㉣㔲㤵搵昸㘵㐹㌲搲㍦挹〱㥦㐲㤶㠵敦㕡㠹㠸戰愸㝦ㅡ㌵挹㤷㔲㜰挸㤷㝥㤶つ㑦㌱晢ㅣ戲愲挶挵㙥ㅡ㙡摣㔳㤷㙡晢昳ㄸ慡㄰ㄴ㥣㐳晦㐲㔴攰㠳㐲㌸㔰㥣㉢づ㜶㐸ㄹ㑡㙤㔳㔰昳ち㘱㈳ㅢ散愸攱㤰㙣㔰ㄴ挲㑢㌶㔴愳〶敡㌲晤ㄹ㘴ち攱挱㍤改㕦攴ㄳ挱㈰㕦昸㙣㔴㤰㉦㈴っ攴昰愵㤶ㄷㄲ㉥戲㘱戱攵㠵㠴㤵㙣㌰㤳㉦晣ㄲ㈷㤵ㅢ㐳愱㔹㕤㜱㠳ㄲ摥㉦愲搰㥦ㅤ攰摡敥挱㑦㕤㔵捡攷㉡攷捥扤㌲㤰ㅢ摥㤳晢昰〷晢㥥㝢昹㤷㝦㝣晡㌷ㅦ㌹昴㤷㔷㕦㜸攱㌷㝦㝡晡攲慢㍦㔹㌸昴昳㤷㕥晡搹㕤㕦戹昸挷㥤收㔷搵敦扤㌲晤搵㠷挶捥㍦昴㠰㜹㘶敦戱㠷敥扤晦敥戱搹换㐶戲搹㥥㥥㥢㠷㝥㜱搵㍢〷ㅦ㜹攰〷捡㑦㝦㜷愵愳挸敤攲〵捤换攰戶攵㌲扥㠲〲㤶挱ㄵ扦愹换攰㜶㈵愰捥㐵㠰㥡㐰〵㔵ㄸㄷ㈰ㅢ㑡捤つ扤晦〱㠶㈰扣攵</t>
  </si>
  <si>
    <t>dfb57019-a397-423d-b682-25e1dcdf275f</t>
  </si>
  <si>
    <t>㜸〱捤㔹捦㙦ㅢ㔹ㅤ㥦ㄹ㝢挶㌳㑥㥣㤸晥愲㠵㉤㑡㜷户㤴㌶挱挴戱昳㙢㑢㘸ㄳ扢㐹㐳搳愴慤搳㤶ぢ戲挶㥥㌷昱㙣收㐷㤸ㄹ㈷㌱㤷㈲挴ㄵ㠱㄰ㄲㄲ搲㙡て㐸ㅣ㌸〰ㄲ㘲〵ㄷづ㥣㐰㠰戸㜱㘱愵〵〹㜱搹ㄵㄴ晥㠱昲晤扣ㄹ㈷昶㈴㑤搳㙥㤱晡㔲扦㜹㍦扦敦扤敦捦捦㝢ㄵ㐴㐱㄰㥥㔰挲ㄷ㈹㡤挲㙢戵㑥㄰㌲愷㔰昱㙣㥢㌵㐳换㜳㠳挲扣敦敢㥤ㄵ㉢〸㔳㌴㐰愹㕢搴ㅦ挸昵挰晡㍡㔳敢摢捣て㘸㤰㉣〸慡慡㐹搴て㈲昸攵扢ㄵつ戳〶搳㤴慤㔷ㄶ搶ㅡ㙦ㄳ搵㕡攸昹㙣㙣攴㐱㌴㜷慥㔸㉣ㄴぢ攵改攲㔴㘱㝣㙣愴搲戶挳戶捦收㕣搶づ㝤摤ㅥㅢ戹搳㙥搸㔶昳ㄶ敢慣㝢㥢捣㥤㘳㡤昱㔲㐳㉦捦ㄴ换㤳㤳收散散捣㈰㉤㉤慣㔶ㄶ敥昸捣っ㕥ㄶ㑤〵㌴搷㉡ぢ㠵㔵ㄶ扥㉣㥡ㄹ愲㐹㈴慢㥥愳㕢敥㑢㈲㉡㠳户㤳㔵搶戴㈰〴挶㝣换摤㈸搰戶晢ㄸ㑤戵改挲㝣㄰戴㥤㉤挸戳挲㙣晢ㅥ㌳㔵㥡愹㌹搵㈰扣愳晢㑥㌰攸㠰㝦捣㘷㙥㤳〵㐳捥㡤摤㈶戳攳㠱㠱敡㍣搰晤㔵摤㘱㘹ㄴ㠶㥤㐸㠶换〶㜳㐳㉢散攴㥣晢〱扢愷扢ㅢっ㐳㘴㘷愹㙤ㄹ㘲㍡㑤晦㠴搴愵挳㜶挶〵㐵晢㜱㉡㉤摤て㜹つ㈲㉣ㅥ㌶戶㐷㕤昸㈹晡昶〵㤵ㅡ㐹捣㠲捣㙡㤶㜳㡢昹㉥戳戱〸㈴㌹㥡ㄸ挴ㄹㄴ挹㘱㡦㔳摤攳㐰㑡攲㐰㙣〴㌸ぢ㔶㔱挰㉣戶挰㐲㝤散戶攵捥㑤㡣ㄷ㘶挶㡢攵㠹搹搲㔴戹㔸㥡㥡㥤㤹ㅡ扢慤敦捥㤵愶ち愵搲㘴㘹㝣慡㐴慤㌳ㄳ搳㔳挵戱㜹㝢慢愵捦㡤ㄷ㘶换㔳㌴扡㌴㍢㔵㉣㑤ㄶ挷换搳搳㘳㈰㐶ㅤ㐴愰㌸㔹㉡㤷㠸搲㐴㜱㝡戶㍣慤㘹戴㤴㤶挵愲〳㤴攵慡㝡愸㡦搴㐸戰㉣ㄸ㈹㙡㠳攸捣㔱㈶愶晦㑢㤶摢扢㑦㡣㤶敡扡㔴㙦㐸昵愶㔴㌷愴㍡㤳敡愶㔴摦㤰敡㉤愹㙥㐹昵户愵晡㈶㡤改㈶㌵㤳㤱攲昴敥㠷㤷晦昲攷慦攸户扥昳㤱昸摤昳㝦晣晥搹挱㘱ㅡ㜴㌷收㐱搵搷㜷㐸慢昶ㄵ㜶愲㌰㡥扦㘷㕢㉡ㄹ慡㌹㘹㑥㥢挵愲㌱㌹慥㤷㜴ㄹ㐷㍢慥㑡攴㘹散愰昹搰㜲つ㙦㠷敢挸㙢ぢ㝡挰昶㔵㘶㌴敥㕢昰摡慥ㄱ㝣晡昰捥㕡愸㠷散㔳挹扥㝤㈲〷愶㐵㡣收敢㝤㈶㌹敤㠱㙥户搹晣慥ㄵ昰敥昳㠹㙥戲ㅦ慦昱昴摥㐵㥦㝤㙤慦昷挰㡥收挹搱㙥㜳摡〷㑥ㄹ㜵挵ち㔰㘹㜹〱㜳昹晡愳捥ㅤ慢戹挹晣ㅡ㠳㥢㘶〶㍦敡㘹㜴挵㐶㍣扡收搲㐱挹㉣㡤搷㝢㕢捤ㅢ扢㈱㜳つ㘶搰㝥户㤸ㅦ㜶搶昵㠶捤捥昴つ㠹搶愴㡥㜳㝤捤㡢㕥戳ㅤ㔴㍣㌷昴㍤扢扦㘷摥搸搶挹㜱ㄸ户㍤㠳㤱摤愷㤱㈸〸愴㔲愲㈸㕣㌹捣昸㐰㌷㈸㜰㐱昴㠸ㄸ㙥攰㙣扦摡ㄵ敥搱改攸ㄴ㌶㠳㑥㑡㙦㍥㠳ㄸ愷ぢ㌲㤷㥦㍥戰攷㑣㠸㘹ㄸ晤戹愷㡦收㝢摣㤳摣晦㜷戰㈴㥤㡣㑦㝦㘳㥢㥣敢㑤摤㌵㙣收ㅦㄹ㤱㐵散㐸㠳戱挸晦㈶㠷昰㔴敥挱㡢㠹扢㘲㐷摥戱㡣戰愵戴㤸戵搱ち愹㡤愲戶慡㠲戵〷㤲㜶㠲㥡戴㤳挸㑥㔱㤶捤ち捡㘹っ㔲戲摡㤹愸㉥挳㑢㍤扦摢〶㉥搰㜸㤸愰㤸ㅥ挸捥愲攷〷愹搴㘱愷扣愹〷慤㄰敡㜹㘴㈷㡥愶㝤ㄲ搹㔹捡㘴戸挸㘷㐶〵㥣㌸㡤攰㤷㜳慡捣搴〹㜲㜰敢ㄶ㜵搹㠹愲㔸㤵〵㑤つ攱㙥㤹㙣㘵㔷愱ㄲㄹ晦愰〳敤㘷扢㈱㥣㜲挶愱挰㐹㔲搲㘸搰㈸㥦ㄵ㤵㌰㌳挷摢扡戳戳㜱㡤㈸攴㜹戱㠷捡〰㙦㠸㈸㤱攱㤰扤〸愹㌸㍦晡㄰戴㜷㠴㌶㈵愹攸晤〱㤰攲戲戱挴摣昵捥ㄶぢ㌰㕣㔵㡥㘴㘵搲扣㐰㙣慤搹戸ㅦ㕡㜶㔰愰㥤㉥昹㕥㝢敢㘵搲〱㉤敤ㅣ㘵摤㈴晦㤳戴昸昸㘷〲搰捣㙣㐳㌶昵㍡ㅤ㡥㙡㘸搱㄰ぢ㌵㘸㉢ㄱ㝢㐲ㅦ㥥戴昳昴挹ㅥ搵㈷㈳戲㍥て㔸㠰昱つ㍡挴愱㜵㥦㜱昸愳昲ち㜱㍢攷㍣昴晣捤㠶攷㙤㐲㥦㠶㜸㉤㘸㌱ㄶ〲㔲っ挴㄰㡡㐳㈵㔱㑣愵晡攲㜸て昶〰ㄸ㔱㉥㔰㤶㥢户敤㤱㉥挵㐰㜹㥤㥡㔲〰㌷㙦㔰㘱㠴っ挸搱㐳㡡〱㜵〲㜹捣㘹搸㥤晡㡡攵戲㍡攱愰挲慥ㅤ散㡡敦ㄳㄷ〰ㄷ捥㙤晤昲㠳ㅦ晣㘸㙥攱扤㙦㕥晣晢晢ㅦ㕣慡㡢㝦㡤㍢㤲〰㐰㠶㐳㜹づ挷捤昹㙤㍥戰搸づ㌴㙤挸㈴㐴㔸㘹〷愱挷捤㈲㘷㔶扤㔵㉦慣㕡挱㤶慤㜷㑥㥡㜱攱㘱㡢戹ㄴ戴㝣摡㜷愲捤摢摡㘲㠶㘶搶扣戶摦㘴换搵㔷㈱愸ㄱ㍢㐸戵㜸㍣㤳㐴㑡㉦收愷〵㥡㐹㡥㤴㤲㈰挳扢㈶捤㡤攳搲㥥搰挸㡢㄰挵昰㍥㐷搷慤搰㘶〳㈶て㑢扣慣㥡挴㐵㐲〲㐶挶㕣㙦㤱ㅡ㔶㜳收㤲㙦ㄹ㌶㘹〰㠴㜱㉡ㅡ扡挲㌶㈸敡摦昱〲ぢ㔷㠰㥣戹敥敢㙥戰〵〷搶散㥣攸慢㜱㑦㈷㥢ぢ㤶ㅢ搰㌲㕣㡡㈸て㥢戵㤶户㐳户挲戶攳㉥改㕢挱㉢㈱ㄵㄸ㝢㤴戸㘸㐴㐹㤴㈴㔱㤵搴ㄷ㤵て〲㥡㈰㑣搰㉦㡤㡣换㑡㤰ㄱ〳㤳㉥愹㐷㔴〹㍣㠱㍤昵摤愶づつ㙤㝢㔷㙡ㅥ扦㍦㡢㌹㤷㈸晢昲搲晤攵㝤愴晤戱敥挵㌲愲昶戱㠱つ㥣攵㔰愴㉡〰㍢搰ㅣ戲㐰㤲㌸㙡㐹昵换㥡㝣っ㌴㜱㘸扦戸㐸戱㜱搰㕣搱ㅢ捣㡥㍣搲㔰㔴〱戶㜲㜴㍢㠸晢㉡㥥攳攸㔰㉤摣晥㙡㑤摤㘶慡㌹摦づ㍤扡㔸㘹㈶㘵㕣晦攲㈶㝤㤷㥡昴摤㈸昸㥡昷〰昵㜹ㄹ戴扣つ摤户挲㤶㘳㌵㔵㔴〰挷㕦〹㥤挴摤㡣㤸搹㑤㕤㥦㤱㡣收㔱㑣㈵㜱ㄷ〸〰㠳㜵㄰㍦㘹慥㈴㉡昴㈷扥㈰ㄲ㈴て挳攳㥥㜶㤹愸挹晣〵〶㤰〲改㜱昷㥤攷昱㈳㙡攱㑥㐸〴㤰㐳户㜶〵㈳攲㤴〶㤶㍡ㄲ㈶㈰㉣㘵㔷㍣摤㔸搴㥢昴㤲㤳㠹摦㜱㔴ㄲ㉤㕣㡡㥦〷㜰慢搰㕤㠰敥ㄸ摢㤶挱㝣ㄵつ㌵㝡㉦㑡〳昲㈹㤱っ㈹㠴愵〴㔹ㅥ㔰て㕢㙢戹㑢敢捤㌸ㅣ昶扥㐷㉤ㅦ愰晦搱摤㤹㙢搸㝥㌶㡢〷ㄱ㙤ㄴ搹ㄸ㘵㈲㈰㈱捥㤳ㄸ昰㜹っ㈸㔰㈶〳㝣㈴㘵搳㡦愱〸㘹攱攲㥡收㉦㈰㐰㜷㉡㈱㈱づぢ㘵㝥㤰㠱ㅥ㌸愷㐴㐸㑥敤㍥慢㈸㌵搲㜲㘶㘴㈳㍦ち搸〸㜱㐸㔲㥡㐴慤㈴慦挲〷㤶㈵㘲㑥㡤㜱㥣㈷〲摢㈸㕦愰散㌴㡣㠵攸搷晢㕦〶㤲㘸㈷㥢搵㡡㌴㕡挸㡡㠰㍤㕤ㄶ㠰㑡㌶ぢ昹㘹㜰㜰㕡㠹㌲ㄱ摥㠷㙢㐱㌹㉥㠰㠷㌲㌴㈸挹㤸〳㑡ぢ㑤捦㥡㔰摦㕡搸戱挹㘵愰〸㐶㐵㈵㠸㍣敡㈶昱㜹㍥㍤㌰愶㤳㌷㤴扤戹㠰攴〳愷ㄲ户㍦㍥つ㍤戰づ昹て〴㔷㥥㍡ㅦ㈷搸㠷㠲㤸㠳愴㑣㔱㜶敡戶搵昴扤挰㌳挳㤱ㅡ㠵㍤晥㥣㘲ち挲昸扣晣㝢愲㜸攸㥡㌸㔸摡挵㠳搶㌶搰㘵㜶搳昵㜶㕣扥ㅢ㌹挰愳〲攷㔷㈶㠳㘵愲愰㐱㠵㌷㠸㡢昹慥㈵攵愱㠳㐸㜹攸㈱㔲ㅥ㑡㠷㤴㠷攲㈱挹㤰搰㜱戵〰㍢ㄲㅢ㘲㔳㌴㐴㤶捥㘴挴㡢㠹㍢敢〱敤搹〳晤㡡〲戱换扦愳戳ㅥ㙦㔲㍦㉢㌱㤹㍦ㄶ捥㔲㐱㝢㡢戲㙣㥥㠷㐸㉡㈹㔷㈹㍢㔱㔹㈰攴搹〷㜸㤵㉦㔲晢㈰戵㜳ぢ愱搷挶㐰㤹愳㤶㑦㔰㑢晦敢愱昲㈵㙡ㅥ愲收㥥㈸㥡㠷㔶攲戸ㅡ攰㉤㝦ぢ搳收㔱㠲ㄹ收愱愴扣戳㐲㠵㕣㙡ㄸ扢㠲㐲㘳㥢㍤改㌱昷〷搴㜰㍤㙡㔴攳㙦㍥晥㥥㡡扦㘷慦て攳㐸㥣挲㔷挵ぢ摦㥢㤷晦昶攸摤晦晣攴敡挵㜷㝥昶㈴晥㍥晡㡤晣敤捥㤵㍦㤵慦晦㝣扣㝤昷挳㉢ぢ搷㤵挵ㅦ㥥搱㙥晥敢摡㉦㝥晢攳昲晡户晥㜱㑤挴敥㜰㜷搰㉥㈰〳㍡攷㕢ㄷ㝦ㅤ攳敢〳挰晢㔷㜱挷〱攰㡤㐳㍤ぢ㜸昷㍣㔲㐱晦㘴ㄳ〶㌷㘰㐶捤㤰㍡㤹㥣㘵摢㕣㕢〷㈹㝥晡昴㑣㠴ぢ〱㐵㑤扡ㄲ挴晣㈷㤸〸〷搲昵搰ㅡ慦㘱戲㘲慥昹攴戲㌳收㜲㐰㌰摥㔰改㥡㑢㜷ぢ摦㝤ㄵ㠲㉢昹㡦㌴㠲ㅡ㐲〷㌹㔲改㔰搳〵㑦㡥挰㍤晢晣攸扥晥㐸〸扢㉦㠶攸㜹戰㑤㡢敦㤱㌸攱㑡戲挲㌷㠴昸扥㈹〹摡㉤摡㐸㤶㝢㔶捡戲摡ち㔵愳攰捣摦㔱㘴㜴ㅦ㝢㥦㌰挹㤳㈴搱昸晦㘴㠰㜶㐶㙤晣㡦捣㘱挱戳ㅦ㕣慥搲㔴ㄱ㡢㠳㠶戶ㄶㄷ㔰ㄱ㜹ㄷ㕡扢㕥㡢捡㐲ㅥ㐳戸㠵摤愵㐲㉥㈵攳㜳㌵攱㙤づ挷扦愳挹挷挵ㅢ昴㔸搸㠱挴㔲ㄴ昸愳㜰㤹㤶摥㝡㌱㕡㔰㑥愰㘵晥晢㈹㜱晢㘳搰挱改昷㠳〵㈸㉥搰㑦ㄵ㠵㠱晦〱挰㕢ㄶ㤱</t>
  </si>
  <si>
    <t>Worksheet: [Formatted_Assembly_Line_Sim.xlsx]1.3_4. cắm_vào_hipot,_bỏ_</t>
  </si>
  <si>
    <t>Beta distribution with parameters:</t>
  </si>
  <si>
    <t>Alpha</t>
  </si>
  <si>
    <t>㜸〱敤㕣㘹㙣ㅣ㔷ㅤ摦㤹摤㔹敦慣敤搸㡤搳㈳㘹㘹㑤て㝡㌸㙣攳戴愱ㄴ〸挱㐷㜳戴㑥散挶㑥ち〲戴ㄹ敦扥戱愷搹㤹㜱㘷㘶ㅤ扢㔴愲㐰换㝤㑢愵㠲㤶㐳ㄵ㐲攲ぢ挷ㄷ捥ち〹〹〹㠴㔲愹ㅦ捡〷㈴㍥ㄴ㠴㐰攲㔲㈴㍥挰〷㈴昸晤摥捣散捥敥㝡挷敥戶〵ㄷ昹愵晢晣收㕤昳摥晦㝥晦晦㥢㘶㤴㑣㈶昳㙦㈴晥㘵捡戱㜰捤晣扡ㅦ〸扢㌴攵搶㙡愲ㄲ㔸慥攳㤷㈶㍣捦㔸㥦戱晣㈰㡢づ昹戲㠵㜶㕦㉢晢搶挳愲㔰㕥ㄵ㥥㡦㑥㕡㈶㔳㈸攸㉡摡㌹〹㝦挳昱㠳捥㔱〳㌹㘴ぢ㔳㤳戳㡢て㘲搶昹挰昵挴晥搱戳攱搸挳攳攳愵昱搲㥤㜷㡤扦愹㜴㘰晦攸㔴扤ㄶ搴㍤㜱搸ㄱ昵挰㌳㙡晢㐷攷敡㡢㌵慢㜲㥦㔸㕦㜰捦ぢ攷戰㔸㍣㜰挷愲㜱攷㥢挷敦㍣㜴挸扣晢敥㌷て攰搵㤹㔳㔳㤳㜳㥥㌰晤㔷㘸㑥㡤㑢扥㜳㕡㔴㉣敥㑤〸捦㜲㤶㑡㔳㤳昸㉦戱㝥㍣摤㔵㥡㕦ㄶ㈲攰慢㠵㈷㥣㡡昰㜵っ散户㈷㝣扦㙥慦㄰㜸扡㝤ㄴ㕢慤ㄸ㝥愰搹㔳愲㔶搳敤㜸搶㠲㍤ぢ搸搵㡣昵〱㝢㕥㌸扥ㄵ㔸慢㔶戰㥥户ㄷ㌰㔱㜵搰㍥攳㡢搳㠶戳㈴㑥ㄹ戶搰散㘳㜵慢㥡ぢ㔳㈶㝢㜳㍣㐵㜲㘱㜲晢愵〹摦㥥㕡㌶㍣戹㈲㥦㠰㐹改㝢搴慢戴昶扤愱晢扣㕣扡㝣〳攷扣愹㝢㍦戴㥣㌵扣㐶捦戱敥㍤愳捤户慥攰昶敥晤ㄳ㌰㙡ㅤ㜳㙢昷㌱ㄲ㤴慤扤㤵晥㠸扥㈵㐴戱ㄹ㍤捦慣㡦㔹㠱ㄹㄱ愸ㄷ㤹昵㌳ㅢ㐰愶攴晥づ㉥㐹づ㘴㤳㕡㌶搴昲愲㕡慥愸攵慡㕡ㄶ㙡搹㔴换㑢㙡㜹㔹㉤㕢㙡昹㐱戵㝣ㅥ㝤攲㔴攸敢㔳愳昴晣㍦㠲搲搵ㄳ㍦戹敦敢ㄷ敦晥搳㤳ㅦ晤敢㔳〳扢搰改晥㘸㔱搳㥥㜱〱愴搶愴攲㠳愵〳晣户㌹㔷㠰㈹捣㐳收㕤收昸㜸昵搰〱攳づ㐳攳戶㔲㤰摦㐲㈸挳攸㍢㘰㍥㘰㌹㔵昷㠲挴摤㌵㤳㠶㉦㥡㠰ㅢ㡢摡㈶摤扡㔳昵慦摥戸㜱㍥㌰〲戱慦扤慤㌹㐹挷戰㜹戰㤵昰攵晢慥㙤ㅦ㜶搶愸搵挵挴㥡ㄵ㌶扦慥慤搹㥥昳摣挵敥慤㐷㍤昱㔰愳戵㘳㐵ㄳ㄰㙡慢㜲敥㡥㕤㠶㑤攱扡㐶愷㤶㕤㕦㌸㜲㜹㘳昶㥣㔵㌹㉦扣㜹㐱㤱㈸慡㜲慢㤷戳㈹攲晡戱㔹〷ㅢ〵户㔶慦㑦搶㥡昷慣〵㘰㘶㔱挵㝡㔷㠴ㄷ慣㉦ㄸ㡢㌵㜱㐵㑢㤷昰㥤㘸搸摢㔲㝤搴慤搴晤㈹搷〹㍣户搶摡㌲㔱㕤㌵㈰㘹慡㈷摤慡挸攵㌲㔲㈸㐰攰㘶戳㡡㤲戹慤㍢㉦㐸㐴㈴㔰㑣㐶扥慡㤵散㑡愷戱㍢散愲㈶㐸㤳敡㡤㥢㑣挶昵㑡ㄹ㤳挲㠱㠹㍤㔱㝦昰愵户㙣㌲㙤〳㜳慦㙥㘷㔵ㅤ㠹㜶㝦捦慡㜰㠲攳㠶㔳慤〹㉦㔵晢㈹㕣㤱㍥㠴㑣扢〴㠱搰ㄵ㝡㔴㜵捡㥡戲慥㕤戰慡挱㜲㝥㔹㔸㑢换〱敡愰㈱ぢ〵㠲戶㈳改㤷愱㑡摦捤㙣〴㔹戱㤸挹敦㘱愷㝣ㄱ㈹愳㔱㍡愵昰㜲㡢㈰攷戸ㄶ㕥ㅥ㌰㡦㕡戵㐰㠴㐲㜹挸〴㐶㐲慤㈶搱㌷㐸ㄲ昵㡣㑡愸㌰昶㤸㔳愰㔲挳㜲㠲昵㈶摦㜶㜰㐹㐸㐴㍢戲㘰摢挹〲㡡㠲㔶㜹㤰挲㙢㈰㥡㌶㘹㤰摥㌹㐱㐴㘴㠳ㄴ捤㡥㤹㕢㠹㡣晤㔳㘴〴晡㈷㠹㤰扤て㜴㤷ㄱ㈴昶㑥㈲攵愰慥晣戸㈳捤㌶戲攵㐳㘹㜶㌹〰愷㕦挱散㑡㘶㔷㌱摢㡢㑣昹〳㈴ㅣ愵ㅣ捡慤㐹扦ㅡ捦晡㌵捣㕥㠷っ昲㐹愷捣㠹㐴ㄵ㙤愸慤搸㤱散㌷〸㍢㔹ㅡ挵愱㈸愲㘵摣戰㌳〷㙤㠹攸挸敡摣ㅥ扡㌶㈷㜵散ㅢ扡搳㘶㜲㍢愴挸㤴慥挹扤㙥搲㌵〹〸㜶敤㔱㙦㕤㠷愱晡㈸戳搷㈳㉢敡搷㌳㠷㜲愱挱扢㌵㡢㥥㈶攵㙢挲㉣ち㡤愱ㅥㄵ㝣㐴挸㍣〲愴〸戹㡥攳换㡥つ㑤㜳㜰捣㝣捤摢搰晢扢昳㜷㠴昴㌶扤戹愳㜷攸㉦㝡㠹㔶昴つ㘰㉦攵㌷㕤㜵捣㑤㘸搶摦挰散㘶㘴㙤㍡㠶愷敦㤷敡㈹㤰㘶戱㥤挰摣㙥㝡㕤愴㤵扢戰扥㈲愴〶ㅡ㌰ㄷっ㙦㐹〴昰㘰㥣㤸㠶㉤散㝡㥥愸攱㔰㕢㤵ㄵ㍣扦㕣搹㕡改ㅦ昵㕣㥢昵㍢㌶戲晦㥡㔰っ戹㥣㥡捤戴搹挸㈹戶㘶挲攷㤴愰ㅣ敡攰㍢扡ぢ㠹挴愰㔶昲攲戸昴昳攵㡥㈴改㐱㤲摣ち戰敡户㈱㠳㤴㔰㝥搵㔵愲散㘷户㌷捡㙥慤ㄶ㉢㍤㝣㈹愷㤳㌶ㅦ㘲㠷ㅣ改てㅤ戶㤳昰ㅦ昸㠳昶扣㘵㌷㠴㐵扦㍤㈷扣ち㝣ぢ㔶㑤ㄴ㐳户㉣㐵捤㡥慣㜸㡤挸㡡㙣戶攳㍣㥤攲㕦㤳㜴搲㈶㈵㔲戹㍤戵㌱攵㉣摥㈴㉡扡㈱㈹㔴㔲㕣㐳つ〹㐴捡㘳摦ㅤㄱ搳㠳㠸戹ㅤ㠰搳て㌰ㅢ㘷㜶㄰㤹昶ㅣ㈴捤㔶〱捦㜰㔸摦㉡㕤摡攵㜲愶㐰㌴㐸ㄷ攱挵慥挲敡㄰㕦昳㈶㘶㜷㈱㙢㌳㝦攸㠰㑣㈱㐴㠹昲〴㈱捡㌰㠶㜹搶ㄲㄷ㐸〳扢㑣〴㤶愶敡㝥攰摡㡣㉣つ㥡搳敥㈹㌷㤸戶晣ㄵ㐴愲㐶捣愸昰挰戲㜰㐰㕤ㅥ㙣㥦戶㍡㜷㘵㐵㔴㜵㜳摥慤㐳戴㥤㤸摥づ〷㜳㠰〳戶愴㍣㥢慢ち㔲㙦攷㘳㑣愱〰搲搲摦㑡㙦散㤶扣摦㍣昴つ㌵㈱扡㘰〵㌵搱㙦㠶㑣挷㜲挱〴ㄴㄱ㌹愸昶㤹ぢ换㥥㄰搳㠳收㌱捦慡搶㉣㐷㄰ㄹ戰㌱ㄹ慣㥢ㄱ㑢㠸ㄲ捣戹㡣〱扡捥愰戹攰ㄹ㡥扦㘲㌰愰戸扥扢攵㐹㠶㐵㌴㜳搲㜲㝣扣㐶㘲㤱攵㈱㜳㝥搹扤㠰㠸㙤摤㜶㡥ㄹ㉢晥戶挰ち㠹㍥㑣ㄲ㌵㡡慡愸慡㔲㔰ぢ扤攲㠷〷昲㑣㠶扣㤷㘳㈶㜱㤵搱攸㌳㑦搱摥戴敢愳ㄸつ敤㜴慥㘹〰搱愳㐶㘵㌶㔵ち㤳㔳昵扢㌹收㉤挸敥㍤㜶收㐴㌳㌲昷戲㘲搶ㅡ扤晣㈹㌲㕥㤲㐵㈳㄰㐲ㅦ摤慥㤰㔴㔸㐷捡〱〷〲攳㝣㙡㈷扦愲㈹晢㤰晡㜶㌵㡢㐷ㄱ㐹ㅡ㌰㘷㡣㐵㔱㐳㍣摡㌶㠲㕤攱〳捤㔸摢愸昹㔱摢㤴㙢摢〶㐹㡢㘴㌹㕦㌱㐸挱ㄳ昵挰㍤㘹㌹扡㠹㑣搲㕦㔴㘵慣愱捡㔸㤳㔵〳收㘹㠶〶㘵㤹㜳戹㑢㠶㘷〵换戶㔵㈹昰㠱攱扢㙤㐱㤳㘰㜲㑡摥㌸挵㌲㘳戴捤㥡㍦〳㤳捤㉦〱摤㈵挸㔱㠲㡥攸〷攵慡㑡ㅥ晦㤴ㅥㅤ㑢㄰㌰搲㔳慡扦つ戳㘹昲㜶〴㐴㡥㑣㤷攲㍢ㄸ㤷摥㡦㥡㔰〸ㄱ敢㈹㈴〲慦㘰㐲挸搳挵㥤㌷捦㌸㔶〰散ㄱ㘳㐷慤㘰摡〷捡㤱愱㈸㡦户晢㈴㔶ㄳ㠳挶ㅡ㕡攱扡捥愶ㄶ㌵㜱㙤㘷㝢㔲㙦摣戸㐱㜳愸㔱ㄲ㡡㘴戳㑥㔲戳㙣戰挶敤愴㙡ㄴ愹戸㘳㙤愳愴戹㑤㥢㜰愷ㄴ㜹ㄹ㡡㐹搲㑣㐶㝦扢㈴ㄴ〴㝡㈳ㅤ㐵㥦㝤㍡㜹㈴㈲㌶戴〱㡡搴㔳㘱摤㘰ㄴㄲ㍣㠱㙢㈷㔵㔱㡣㥥挰摦扢愲攲㙣㍤㘸㘹㌱搶㐶愲㤶㠹㕡㙤搶㠱㤵㔰㌱扣敡㌶㘱㘹散㉤搴㌰㤲㍢㝢搵晥㈱㜸ㄳ㡣ㄸ戱㈱挳㈲㈹㝥㘰戰㈱㤸㉢ㄱ㔱愵㜵㌶㐸㔰㌷慡ぢ㝣㍡㈹っ㐷㘲㘰㍥愸㑥㡢㔵㘹㠶㌵㉤昹ㄱ㌹愰㜱㕡㤴㜲㔴㌷㈷ㄶ㝤愸昴㠰㜲㍣㉡㐹〶搷捤搳㜴㑢攱ㄲ〳挴㙥㔴㥡慢〴〸敤㌶㈶攰挹㘰晢㘰〷㄰〹㐳㈷戴捥㈸㐱昳㈹㠴摢扡〹昲㑥㡦ㄸ㠵㈰㌵㘵晡摢ㄱ攵㑢㕦㘴晡收㤱㑣㕣㠸㤸㠸攱慥ㄴ敢〱挸㑤㐶㈶挹㐵㈳㜱挰㍣㤴㙣㔲㘸つ挴㜵㌴㌱〶㘹昲㜹〱㙥昱㌰㤶㌵㐴戶愹攱㥥㕢㘰㐱㥢搶搶㜷㤹㈷㥣㑡慤㕥ㄵ㔲ㄵ挷戲㕡㙡攴㙤㠱㉦㜹〵㌰攴愶ㄴ戸㐴㐰㌹㠱愳ㄴ户㑣㈴昵㙥㜷敢㐷㌰㕣ち㌹捣ㄱ慡㍥〶㈰㔳摣㜲㌲㈰搶㜱㑦㠱昶攱敥收〵〶㜹㜹づ㈲慤愳㡡戲㙣〶昷昱ㅡ㔱㘴挹㙤㠹㙥㌳敥㡣㑢㥢㍤㔱㜵摣ち慢戶〵㡥戰捦㔰攰攵昳㌰㐶㝡攴づ㑥㤲戹ㄴ㐵㜷㉦扤㕦㍥㘶㉥〱ㄵㄲ〳ち㘳扣㍣〵㘵〰㔵㌰ㄲつ㙥戵㘹㜵㉢㡣晥搲昲搶㈷㤰㈹っ〳搳愰㐵捦搰挰㤹㐲㜹㜳〳攷㍡昴㑡㠹㤰㈶㠳愹㡣㔱㡥挰㘱て愴㠱㥢㜸㤰㕥㜰愱㠴㠲㍤昲㘲㔸㝣㌷㜱捣挶ㄱ挸昵慥㘸慢㥣㌳〲㕣㝦㜱昶戶㔵㑦㔴慢㌴㜷攱㥦摢ㄶ㔸挵搵㡤搰ㅣ摤搳㜶㈹㑢敥㠹昶摤つ㙤つ搱㘵挱㠳搳愵攳㐶㔰㔹㥥て搶挳㡢㕢扤㤲㠴昶㉣晣ㄱㅢ扥㥤㌶㜳捥攱㐵搴㔵挲扥㜸摥㜱㉦㌸㜲㕤㥡捦㕢㝦愰㄰㕣愱散攳㈲㡢㤹㝦攳㥦㑣㙡㐶晢㌱㘶摣捡戲㌹㐱搳㐱挲㜹㘴ち愵挱㈸捡㈹㜴〲摢扤㜱㙢㠰㜴戲愷㡤㑥愴㈰搸㈱ㄴ㘷改ㄵ㈳ㄴ攵㐷㐰㉢㠹㈵㍣㤲〳收摦〰敢㉢㍦㐴つㄱ㡥攷㐸㡣㘸慦㐷㈹〵㜵㔲㤰㐷㔷㍣㜸㈱攴晦〷㑢㌱㌷㙦挸㑥晦〵㘶㔶㝥搰㡥愲㙢㠹愲敦㜷愰㐸攱㌵㄰挹扦昷㐶〵㍥㘸っ捦扥愴㐰㌸昷戴㜳〰㝤搵㉦晣晥てて愰㌳挰㌰㤳戴搱㄰㙡扢〹攵㠶㠹㤰敤㌰ㄱㄸ扣㤷㈶挲㐹㡥㘱ㄴ㍦㌴ㄱ㈲ㅦ挸㉣㉡㌶㌷ㄱㄸ摢㑢㌱〴ㄳ愱搶㠴㕢㠳㈷戰㉢㙣晡挷㡥攳攲慤昰ㄱ捦㠷搲昲愷攰㤱扡戲戳㝡捥昰っ㝢慦慣㍦收〹㈸㌳㙦〱㌷戹攵㄰㡥搸户㘱㡢ㅣ戴㠱慦㈲昶戲敦昸㔳戶㜶㝦ㅤ㤸ち㔳攸扥㔷ち㑡晥㘵㜸㑡ㄴ㥥ㅢ㌲敦摢昳慤㘳扦㝤昸戱㈳扣慤ㄶ搱慡㜶ㅢ捡扤㠴散㘹㑦㈰愸㥢戸㈸㜲㌹㍦捣㌹㠹㑦㤴慣㤵㥡㤸㌴㍣㘹〵昹扡ㅤㄷ㐳挲㑢㄰㘶㐸㝣摢挱挴挴扤㠷搰挴㉣戵戹㍢攵㠷㑤搲㐵㔸㑡㉣㕣晡昴攲戰愱搲㔵㤱昵㘸㙤㙡摦㠱㉡㝡㠹ぢ㘹戵ㄲ㜹敡㘴㔲㤴㙦户敢扡㐳搴㜵攱㐱㠶㘱晦㔸㑡㈱晥㐰ち㐹ㅥ㘴㜸㈱㐰㑡愹搳㈸㘸户㈳㑢㠹慣戵㠷㜸改て搸ㄱ〲愲㜱改慦挷㡦㔸〰㐵㘰㌱昶挵昷㝡愲愵㉤ㅡ慢㈶㠶㙡愵㑤㌳㡦㠲㍣扣戰㘲㍣慥㕤㐰㈱㑥摡㐱㤴戶散㡥攲㑢〶敤㌰昰ㄶ㌲戶㘶搳搷㔶戴敦㜱敡戸昹〱㍤㤳㤷ち挳搹捤㙡ㅣ㐸㘵㡣㉥散㕡っ慢㤸て㠵挵挶愰晥愸〹㍡换搹㡢㔳㈹㠲㝦晣㔲㠸敤㘳捤愹㉦㙦㙦愱㡥㜳晡戰㐱晥㘰㝦㕤㥢挲搸㜸㉢㌹〶ㄲ㜶㑢扤ち攱昵昰㌳ㄸ挲㑤㘷ㄴ扤㔹㤴捦捡㈱晣㠹㌹㉢慢㜶攸㝦㐶慦㈵㘷㥤攵㘸㠶戱㕢昴晦㍢㔱戱愹晥㔷ㄸ㝢㤳㠸㝣㔷㔴㤰挶㈹攳㈷㥢㠶㙣〸ㄱ㜸戶ㄱ扣㤱〷㘳㕤ㄶㄹ昲づ㑢昳昸㜸㌵㙣㤶ㄲㅣ㝥慦㕣晢搵㠸挶㔸摡戶晤㕤〵㈰㘳㐳摡㌷㈰㠲扡㡥㙦㤵㕢昱改㌶晦㙥っ摣㜳搲慡㜸慥敦㥡挱攸㍣㠲扥愳晣昶捣㠴捤㌳愱㝣扤㕤愸摤〰㐸っ扣ㄷ㘳㑥捤㐲㘰㥦ㄲ挱㉢ㄵ㡢㘴㘴㘱㙢㤱っ㝥㠷㌴㥣〸㉦㔱㍢昸㤷㤹昷搷㡤ㅡ㍥㕤㥤㠵慦㌳㘰搵戶㔰㜶愱挷戹晤㠶〶㐱㠷㍢㕡昷挱ㅦ㈴㙡㈵〴挷攴ㄶ摥晤㕥挲戵ㅤ〶慤㝤愳扤昹散搹㥢捦慤愸㍤〳㥣㙥敤㉤慤㈴挳㜷昲㡢攴愲㕥㘶㡥㑢晢㐷昰㜷敢づ㕡捥㌶〲㍡㡦㍥攸愶㈳㙣慣〶昷搹ㄶ愲摦攷㌰㔴㤹㘰㠶㥦㙥㐴〵㍥㈸昴昲㤱ㄵ㤵慦㘰㕢㘴〰㤴㌳昹ち戲敥㔴晤昴㐶㔴㍤㝣㉦挶㤰㕦㜵㠱㙣㌰慢昰愸㐱慡㉣㉡㕦㐲㝦㐲㉤摣晤ㄲ敢㜰昴㤰㐷ち㤴昵愴㈴㔷㜸愴㤰敢㜹ㄲ〳ㅡ敢㜹㄰戵摤搷昳挴㐶敢㔱㘸っ挸晤㈶攷ㅦ㡥㤵㠹㙥昳搵づ㌳㤷搹ち戲攱戸攷㄰挵㈴昷㤲て㐳つ㍦㈴愶㤰㥥㡦晥扥㜸攴戹㡢㑣㝦㌹愲㐸挱㠸愶搶㕤㔰㌰捡㕤㝣㍡戹ぢㅦ戵摤㜷昱挹㡤㜶㌱㑣㤹㈹愱㕡㐷〱㔰㉤攳㡦摣搵㉡ち〴㈸㝦捡㌹㘶昸戵慣㘲搸㐰㡤ㅣ扢㠶挲㘰㔶㈳㘲摥摡㕤扢搰㜸㡣㍦㠵㐵㜰愰攵㥢搷㝢昰つ敢㍡愳摤㔹㝣挲慦㐹㔵㤸㔳摦搲摢㕣戱㌹㑡㑤愶㝤〴扢㝥ㄹ昳㜰搳㑤㥦㈳㘷摣㠷㕦〱㤶㈳挹㑣㠲攴㘱ㄴ㘲㐰㘹挴㝡捡㤷㑤搲㌸攴㉤㔰㍡戲昲愱㈷㍡ㅦ㥡〴〵㍢㜲㐱㙦ぢ挱㠸㉤昱㔳攱慥晡㉣摦攳昵〶攵昱㤸ち㡦ㅦ㡦㍦ㅢ㔳愳㠰ㅢ戸㈰㌴挷挹㌵〴愴昲㔸摣昹扢摦㙢晡㡢搱㠰〴㔶〹㍢㤳扢㘴攷て挵㥤て攲㤳㌴搹㈷㐳㠲㘲㝡㌱敥㑣㉥㤴㥤㍦ㄸ㜷晥昳挱扤㡤捥㌱搳㠵㌳㙢攴㠸ㄴ㐳㕦ㅥ㝤ㄲ㥦愷て愱扢㘶搲㜸攸㌷挳㙡ㄲ愲㡣㥢搷愴昹㌰㠰㥢㌰ㅥ㍥㄰㥦挱挵㉥摣㝦㠱㠶〹晦㍦ㄱ㈷㜰攱㙢摡〸っ㝣晦扤㡡㐸扢愷换㈷づ捥㥢戳ㅥ㉡晡捣ㄳ㍥づ㤴搵㙤㐵㈲戰㠵㜲㈱㝣㌷㠹㐸愴搸捤㑤㜸挴ㄱ㐲㤵ㄷ㘸㝡搳㥣㌲慡㤴㔳ㅥ㡤㌱㥢㜹戴㐹㌳晡〷㠰ㅣ攸〴攴㉣攸ㅦ㐴ㅥ㐶愱昶戰㘲㤸挲㑥㑡戲挷搸昰㌸戳て㈳㉢㉡㤴㙣愴㠳晣㐷㤰つ挵晦㤷㡥搱㔵改㉣㔲㤵戵昸㘵㐹㌲搲㍦挶〱ㅦ㐷㤶㠵敦㕡㠹㠸戰愸㝦〲㌵挹㤷㔲㜰挸㤷㝥㡡つ㥦㘶昶ㄹ㘴㐵㡤㡢摤㌲搴戸愷ㅥ搵昶㘷㌱㔴㈱㈸㌸㠷晥戹愸挰〷㠵㜰愰㌸㔷ㅣ散㤰㌲㤴摡愶愰收ㄵ挲㐶㌶搸㔱挳㘱搹愰㈸㠴㤷㙣愸㐵つ搴㘵晡ㄳ挸ㄴ挲㠳㝢搲扦挰㈷㠲㐱扥昰挹愸㈰㕦㐸ㄸ挸攱换㙤㉦㈴㕣㘴挳㔲摢ぢ〹㉢搹㘰㈶㕦昸ㄴ㈷㤵ㅢ㐳愱㔵㕤㜱㠳ㄲ摥㕦㐶㘱㌰㍢挴戵㍤㠰㥦扡愶㔴捥㔵捦㥤晢攷㔰㙥㜴㕦敥㥤敦ㄸ昸攲㡢扦晣摤攷㕦㜸捦攱㍦晥敢改愷㕦昸晤攷㉦晥敢搹挵挳㍦㝦收㤹㥦摤晢搵㡢扦摢㙤㝥㑤晤摥㍦㘷扥昶挸昸昹㐷ㅥ㌲捦摣㜶散㤱㜷㍤㜸晦昸摣㘵㘳搹㙣㕦摦捤㈳扦戸敡㤶攱㐷ㅦ晡㠱昲搳㕦㕦改㈸㜲扢㜸㐱敢㌲戸㙤戹㡣慦愲㠰㘵㜰挵慦敡㌲戸㕤〹愸㜳ㄱ愰㈶㔱㐱ㄵ挶〵挸㠶㜲㙢㐳晦㝦〰㤵戳扤㤵</t>
  </si>
  <si>
    <t>c79ec0f4-763a-49e1-8470-4c4967205a5e</t>
  </si>
  <si>
    <t>㜸〱捤㔹换㙦ㅢ挷ㄹ摦㕤㜲㤷扢㉢㔱㘲晣㐸敤搶㈹㘴㈷㘹ㅡ㑢㘱㐹㍤㈸挹㡥ㅡ㑢㤴慤愸㤶㉤摢㤴㙤愰㐰㑡㉣戹戳攲㐶晢㔰㜷㤷ㄲ㤹㡢〳戴㝦㐰搱㝢ㅦ〸㝡㉡㡡收ㄶ㌴户摥摡㈲昷昶搰愲㐸㉦㍤ㄴ〵敡戴扤扢摦㙦㜶㈹㤱㉢㔹㤶ㅤㄷ昰挸㥣㥤攷㌷㌳摦昳㌷㘳㐱ㄴ〴攱ㄱ㈵㝣㤱戲㈸㥣慢㜵挳㠸戹挵慡敦㌸慣ㄹ搹扥ㄷㄶㄷ㠳挰攸慥搹㘱㤴愱〱㑡摤愶晥㔰慥㠷昶〷㑣慤敦戰㈰愴㐱戲㈰愸慡㈶㔱㍦㠸攰㔷攸㔵㌴捣ㅡ捥㔲戶㔱㕤㕡㙦扣㑦㔴㙢㤱ㅦ戰㠹戱㝢昱摣㠵㜲戹㔸㉥㑥捦㤶㉢挵搲挴㔸戵敤㐴敤㠰㉤㜸慣ㅤ〵㠶㌳㌱㜶慢摤㜰散收㜵搶摤昰户㤸户挰ㅡ愵愹㠶㌱㍤㔷㥥㥥㤹戱收攷攷㠶㘹㘹攱㘶㜵改㔶挰慣昰㜹搱㔴㐰㜳扤扡㔴扣挹愲攷㐵㌳㐷㌴㠹攴戲敦ㅡ戶昷㥣㠸捡攰敤捣㌲㙢摡㄰〲㘳㠱敤㙤ㄶ㘹摢〳㡣愶摡㙣㜱㌱っ摢敥㌶攴㔹㘵㡥㜳㠷㔹㉡捤搴摣攵㌰扡㘵〴㙥㌸散㠲㝦㉣㘰㕥㤳㠵㈳敥搵㑥㤳㌹挹挰㔰㜵敦ㄹ挱㑤挳㘵㔹ㄴ㐶摤㔸㠶慢㈶昳㈲㍢敡收摤扢㈱扢㘳㜸㥢っ㐳㘴㜷愵㙤㥢㘲㌶㑢晦㠴捣ㅢ㠷敤㡣ぢ㡡昶攳㔶㕢㐶㄰昱ㅡ㐴㔸㍥㙣㙣㥦扡昰㔳っ散ぢ㉡㌵㤶㥡〵㤹搵㙣昷㍡ぢ㍣收㘰ㄱ㐸㜲㍣㌵㠸㌳㈸㤶挳ㅥ愷㝡挷㠱㤴挴愱挴〸㜰ㄶ慣愲㠰㔹捤㈵ㄶㄹㄳ㌷㙣㙦愱㍣㔳㥣㥣㥣㥢㉥㔵㑡昳㌳搳攵昲捣㑣㘵攲㠶搱㔹㈸捦ㄷ㉢㔳㤳昳戳ㄵ㙡㤹㥤㥣慤㑣㔶㈶ㄶ㥤敤㤶戱㔰㉥㑥㤶㑢㤳㔳戳㤵愹搲㔴㘵㜶㙥㝥扡㌲〱㕡ぢ愵攲㑣愹㌲㔹㥡㤹愳攱愵戹ㄲ晤㌴㡤ㄶ搲㜴㉣㌹㐴㔹㝥搹㠸㡣戱ㅡ㠹㤵㠵㘳㘵㙤ㄸ㥤㜹捡挴散扦挹㙥晢㜷㠹搱㔲摤㤰敡つ愹摥㤴敡愶㔴㘷㔲摤㤲敡㥢㔲扤㈵搵㙤愹晥扥㔴摦愲㌱扤愴收㜲㔲㤲㝥昴攱て晥㉡晥攳㤳昵㕦㡤捣㕤㍥㔷㝦㝢㜵㜸㤴〶摤㑥㌸戰ㅣㄸ扢愴㔳晢敡㍡㔹㉣攱敦挹㜶㑡㘶㙡捤㔸戳㔶戹㙣捥㤴㡣㈹㐳挶搱㡥慢㄰〵ㅡ㍢㙣摤户㍤搳摦攵ㅡ㜲㙥挹〸搹扥挲㡣㈷㝤㑢㝥摢㌳挳慦ㅤ摥㔹㡢㡣㠸㝤㌵摤户㑦攴挰戴㤸搱㝣扤慦愷愷摤㌳㥣㌶㕢散搸㈱敦㝥㈵搵㑤搶攳㌷ㅥ摦㝢㉤㘰摦摦敢㍤戰愳㐵㜲戳㍢㥣昶㠱㔳挶㕤㠹〲㔴㕢㝥挸㍣扥晥戸㝢换㙥㙥戱愰挶攰愴㤹挹㡦㝡ㅡ㕤㠹〹㡦慦㝢㜴㔰㌲㑡昳㐲㝦慢㜵戵ㄳ㌱捦㘴㈶敤㜷㥢〵㔱㜷挳㘸㌸散攵㠱㈱昱㥡搴㜱㜶愰昹㥡摦㙣㠷㔵摦㡢〲摦ㄹ散㔹㌴㜷っ㜲ㅢ收つ摦㘴㘴昵㔹㈴ち〱㤹㡣㈸ちㄷて㌳㍤搰つ㡢㕣㄰㝤㈲㠶ㄳ㌸㌳愸㜶挵㍢㜴㍡㍡㠵挳愰㤳搲㙢㑦㈰挶改㠲捣㥢㡦ㅦ搸㜷㈶㐴㌴㡣晥收攳㐷昳㍤敥㐹敥晦㍢㔸㤲㑥㈶愷扦扡㐳慥昵㕤挳㌳ㅤㄶㅣㄹ㡦㐵散㐸㠳戱挸晦㈲㠷昰㔸敥挱㠷㠹ㅤ戱㉢敦摡㘶搴㔲㕡捣摥㙣㐵搴㐶㌱㕢㔵挱摡〳㐹㍢㐱㑤摡㐹㘴愷㈸搳㜵㐱㌹㡤㐱㡡慥扤ㅣ搷㘵㜸愹愷㜷摡㐰〵ㅡてㄲㄴ搱㐳搹扤收〷㘱㈶㜳搸㈹摦㌵挲㔶〴昵㍣戲ㄳ㐷搳扥㠲散っ㘵㌲㕣攴ㄳ㘳〲㑥㥣㐵攸换扢换捣㌲〸㜰㜰敢ㄶつ搹㡤㘳搸㌲ぢ㥢ㅡ㠲摤㉡搹㑡㐷愱ㄲㄹ晦戰ぢ敤㘷㥤〸㑥㌹攷㔲搸㈴㈹㘹㌴㘸㥣捦㡡㑢㤸㤹攷㙤扤搹㝡㔲㈳ち〵㕥散愳㌲挴ㅢ㘲㑡㘴㌸㘴㉦㐲㈶挹㡦㍥〴敤ㅤ㠱㑤㐹㉢晡㘰昸愳愸㙣慥㌰㙦愳扢捤㐲っ㔷㤵㈳㔹㤹㌶㉦㄰㕢㙦㌶敥㐶戶ㄳㄶ㘹愷㉢㠱摦摥㝥㥥㜴㐰㑢㍢㑢㔹㉦挹㝦㈷㉤㍥晥㤹〰㌳㜳㍢㤰㑤扤㑥㠷愳ㅡ㕡㌴挴㐲つ摡㑡挴ㅥ搱㠷㈷敤ㄵ晡攸㐷昵挹㠸慣㑦〳ㄵ㘰㝣挳㉥㜱㘸㈳㘰ㅣ晣愸扣㐲摣捥扢昷晤㘰慢攱晢㕢搰愷ㄱ㕥ぢ㕢㡣㐵〰ㄴ㐳〹㠰攲㐰㐹ㄴ㌳㤹㠱㌸摥㠷㍣〰㐵㤴昳㤴攵ㄷㅤ㘷慣㐷㌱㔴㉥㔰㔳〶搰收㔵㉡㡣㤱〱戹㐶㐴㌱愰㑥㄰㡦戹つ愷㕢㕦戳㍤㔶㈷ㄴ㔴散㌸㘱㐷晣ぢ㜱〱㜰攱扦扦晤改敦㉥敤晣㙤昵㠷摢㙢慢㥢㘳摦晤㥥昸攷愴㈳つ〰㘴㌸㤴愷㜰摣㥣摦搶㍤㥢敤㐲搳㐶㉣挲㠳搵㜶ㄸ昹摣㉣昲搶戲㝦搳㡦㤶敤㜰摢㌱扡㈷慤愴㜰扦挵㍣ち㕡〱敤㍢搵收㙦㙦㌳㔳戳㙡㝥㍢㘸戲搵攵ㄷ㈱愸ㄱ㍢㐸戵㜸㍣㤳㐴㑡捦收愷〵㥡㐹㡥㤴㤲㈰挳扢愶捤㡤愳搲扥搰挸㡢㄰挵攸㍥㐷㌷散挸㘱㐳ㄶて㑢扣慣㕡挴㐵㐲〲㘶捥摡㘸㤱ㅡ㉥攷慤㤵挰㌶ㅤ搲〰〸攳㔴㍣㜴㡤㙤㔲搴扦攵㠷㌶㉥〰㜹㙢㈳㌰扣㜰ㅢづ慣搹㍤㌱㔰攳㥥㑥戶㤶㙣㉦愴㘵戸ㄴ㔱ㅥ戵㙡㉤㝦㤷敥㠴㙤搷㕢㌱戶挳ㄷ㐲㉡㌰昶㌸㜱搱㠸㤲㈸㐹愲㉡愹捦㉡ㅦ〴㌴㐱㤸愴㕦ㄶㄹ㤷㤵㈰㈳〶愶㕤㔲㥦愸㔲㜸〲㝢ㅡ戸㑢ㅤㅡ摡昶㉥搴㍣㝥㝦〳㜳摥愰散㍢㉢㜷㔷昷㤱昶㤷扡ㄵ换㠸摡挷〶㌶㜰㤶㈳戱慡〰散㐰㜳挸〲㐹攲愸愵搵㑦户昸ㄸ㘸攲挸㝥昱ㅡ挵挶㘱㙢捤㘸㌰㈷昶㐸㈳㜱〵搸捡㌵㥣㌰改慢晡慥㙢㐰戵㜰昷慢㌵つ㠷愹搶㘲㍢昲改㕡愵㔹㤴㜱晤㑢㥡㡣づ㌵ㄹ㥤㌸昸㕡㜷〰昵㜹ㄹ戴晣㑤㈳戰愳㤶㙢㌷㔵㔴〰挷㕦〸㥤挴摤㡣㤸搹㑢㍤㥦㤱㡥收㜱㑣㈵㜱ㄷ〹〰㠳㜵㄰㍦㘹慥㈴㉡昴㈷㍥㈳ㄲ㈴て挳攳㥥昶㈶㔱㤳昹晢ぢ㈰〵搲挳摥㉢捦挳〷搴挲㥤㤰〸㈰㠷㙥敤㈲㐶㈴㈹ぢ㉣㜵㈴㑣㐰㔸搲搷㝣挳扣㘶㌴改ㅤ㈷㤷扣攲愸㈴㕡戸㤴愰〰攰㔶愵扢〰摤㌱㜶㙣㤳〵㉡ㅡ㙡昴㕡㤴〵攴㔳㘲ㄹ㔲〸换〸戲㍣愴ㅥ戶搶㙡㡦搶㙢㐹㌸散㝦㡤㕡㍤㐰晦㥦户攷摥挱昶㜵ㅤ捦㈱摡㌸戲〹捡㐴㐰㐲㥣㈷㌵攰㉤っ㈸㔲㈶〳㝣愴㘵㌳㠸愱〸㘹攱攲㥡攵敦ㅦ㐰㜷㉡㈱㈱づぢ㘵㝥㤰愱㍥㌸愷挴㐸㑥敤㍤慡㈸㌵搲㜲㘶敡戱ㅦ〵㙣㠴㌸㈴㈹㑢愲㔶搲㔷攱〳换ㄲ㌱户挶㌸捥ㄳ㠱㙤㤴㙦㔱㜶ㅡ挶㐲昴敢㠳㉦〳㘹戴愳敢㕡㤹㐶ぢ扡〸搸搳㘳〱愸攸㍡攴愷挱挱㘹㔳㤴㠹昰㍥㕣ぢ愶㤳〲㜸㈸㐳㠳搲㡣㌹愰戴搰㜴摤㠲晡搶愲慥㐳㉥〳㐵㌰㉡㉥㐱攴㜱㌷㠹捦て攸㜹㌱㥢扥愱散捤〵㈴ㅦ㍡㤵扡晤昱㘹攸㠱㜵挸㥦ㄱ㕣㜹散㝣㥣㘰ㅦち㘲づ㤲㔲愱散搴つ扢ㄹ昸愱㙦㐵㘳㌵ち㝢晣㌹挵ㄲ㠴搲愲晣〷愲㜸攸㥡㌸㔸搶挳㜳搶づ搰愵扥攵昹扢ㅥ摦㡤ㅣ攲㔱㠱昳㉢㤷挳㌲㜱搰愰挲慢挴挵㐲捦㤲ち搰㐱愴〲昴㄰愹〰愵㐳㉡㐰昱㤰㘴㐸攸戸㕡㠰ㅤ㠹つ戱㈹㥡㈲换收㜲攲敢愹㍢敢〱敤搹〳晤㡡〲戱换扦愷戳ㅥ㙦搲㈰㉢㌱㤹㍦ㄵ捥㔳㐱扢㐴㤹㕥攰㈱㤲㑡捡㘵捡㑥㔴㤷〸㜹づ〰㕥攵㙤㙡ㅦ愶㜶㙥㈱昴搶ㄸ㉡ぢ搴昲ㄲ戵っ扥ㅤ㉡摦愶收ㄱ㙡敥㡢愲〵㘸㈵㡥慢〱摥昲户㌰㙤ㄱ㈵㤸㘱〱㑡捡㍢慢㔴挸㘷㐶戱㉢㈸㌴戶搹㤷ㅥ㜲㝦㐰つ㔷攲㐶㌵昹ㄶ㤲敦愹攴㝢收捡㈸㡥挴㈹扣㈷㥥晦昱愲晣昹㠳㥦㝤昱换换慦晦攴攳㐷挹昷挱㥦ㅥ㝤昶㡢㉦愲攲㤵てㅥ㝤晣愹晥搱搴㤵㡢㘷摦扡㜰攱扤晦扣㜳昱愵戹㥦晦㜱昲昳㜷㐴散づ㜷〷敤㍣㌲愰㜳扥㜵昱搳〴㕦ㅦ〰摥扦㐹㍡づ〰㙦ㅣ敡㐹挰扢敦㤱ち晡㈷㕢㌰戸㈱㉢㙥㠶搴挹攴㙣挷攱摡㍡㑣昱㌳愰㘷㈲㕣〸㈸㙡搲㤵㈰攱㍦挱㐴㌸㤰㥥㠷搶㜸つ㤳ㄵ㙢㍤㈰㤷㥤戳㔶㐳㠲昱愶㑡搷㕣扡㕢〴摥㡢㄰㕣挹㝦㘴ㄱ搴㄰㍡挸㤱㑡㠷㥡㉥㜸㜲〴敥搹攷㐷敦昵㐷㐲搸㝤㌶㐴捦㠳㙤㔶晣㠴挴〹㔷愲ぢㅦち挹㝤㔳ㄲ戴敢戴ㄱ㥤㝢㔶捡㜴㙤㡤慡㜱㜰收敦㈸㌲扡㡦扤㑦㤸攴㐹㤲㘸昲㍦㌲㐰㍢攳づ晥㍦收戰攰㌹〸㉥㙦搲㔴ㄱ㡢㠳㠶戶㥥ㄴ㔰ㄱ㜹ㄷ㕡㝢㕥㡢捡㐲〱㐳戸㠵摤愶㐲㍥㈳攳㜳㌹攵㙤づ挷扦攳改挷挵慢昴㔸搸㠵挴㌲ㄴ昸攳㜰㤹㤵㉥㍤ㅢ㉤㈸㈷搰㌲晦晤㥡戸晤㈵攸攰昴晢挱〲ㄴ㤷攸愷㡡挲搰晦〰㘱㈳ㄲ〳</t>
  </si>
  <si>
    <t>Worksheet: [Formatted_Assembly_Line_Sim.xlsx]1.4_5. xịt,_lắp_chèn,_dâ</t>
  </si>
  <si>
    <t>㜸〱敤㕣㕢㡣㈴㔵ㄹ敥慡敥敡改敡㤹搹ㄹ㜶㤶换㉥〸愳㠸㕣㘶ㅤ㜶ㄶ㤶㥢慥敢㕣搸ぢ捥敥っ㍢戳ぢ愸愴户愶晢搴㑣戱㕤㔵㐳㔵昵散っ㤲㠸〸ㄲ敦㤷〴〹㠸㤷㄰㐳㘲㘲扣扣㈰㈸㉦㈶㈶ㅡ〳㠹て昸㘰攲〳ㅡ㠳てㅡ戲㠹㌱攱挱㐴扦敦㔴㔵㜷㜵昷㜴捤搰㠰づ㘶捥搲㘷㑥㥤㕢㥤昳摦捦晦㥦㈲愳㘴㌲㤹㝦㈳昱㉦㔳㡥㠵换收搶晣㐰搸愳㤳㙥戵㉡捡㠱攵㍡晥攸戸攷ㄹ㙢搳㤶ㅦ㘴搱㈱㕦戲搰敥㙢㈵摦㝡㐰ㄴ㑡㉢挲昳搱㐹换㘴ち〵㕤㐵㍢㈷攱㙦㌰㝥搰㌹慡㉦㠷㙣㝥㜲㘲㘶攱㍥捣㍡ㄷ戸㥥搸㍢㝣㍡ㅣ㝢㜰㙣㙣㜴㙣昴挶㥢挷㙥ㅡ摤户㜷㜸戲㔶つ㙡㥥㌸攸㠸㕡攰ㄹ搵扤挳戳戵㠵慡㔵晥㤸㔸㥢㜷捦ち攷愰㔸搸㜷挳㠲㜱攳㉤㘳㌷ㅥ㌸㘰摥㝡敢㉤㝤㜸㜵收挴攴挴慣㈷㑣晦㙤㥡㔳攳㤲㙦㥣ㄲ㘵㡢㝢ㄳ挲戳㥣挵搱挹〹晣㤷㔸㍦㥥㙥ㅥ㥤㕢ㄲ㈲攰慢㠵㈷㥣戲昰㜵っ散戵挷㝤扦㘶㉦ㄳ㜸扡㝤ㄸ㕢㉤ㅢ㝥愰搹㤳愲㕡搵敤㜸搶㠲㍤〳搸㔵㡤戵㍥㝢㑥㌸扥ㄵ㔸㉢㔶戰㤶户攷㌱㔱愵摦㍥攵㡢㤳㠶戳㈸㑥ㄸ戶搰散㈳㌵慢㤲ぢ㔳㈶㝢㜵㍣㐵㜲㘱㜲晢愳攳扥㍤戹㘴㜸㜲㐵㍥〱㤳搲昷戰㔷㙥敥㝢㘵攷㜹戹㜴昹〶捥㜹㔵攷㝥㘸㌹㙤㜸昵㥥㈳㥤㝢㐶㥢㙦㕥挱昵㥤晢㈷㘰搴㍣收摡捥㘳㈴㈸㥢㝢㉢扤ㄱ㝤㑢㠸㘲㌳㝡㥥㔹て戳〲㌳㈲㔰㉦㌲敢㘵搶㠷㑣挹晤〳㕣㤲ㅣ挸㈶戵㘴愸愵〵戵㔴㔶㑢ㄵ戵㈴搴㤲愹㤶ㄶ搵搲㤲㕡戲搴搲㝤㙡改㉣晡挴愹搰搳愳㐶愹昰散挷㉦ㄸ扦散昵㤹㙦摤愹扦昶挳㝦づ㑦昷敤㐰愷㍢愳㐵㑤㜹挶㌹㤰㕡㠳㡡昷㡦敥攳扦㡤戹〲㑣㘱ㅥ㌰㙦㌶挷挶㉡〷昶ㄹ㌷ㄸㅡ户㤵㠲晣㈶㐲ㄹ㐴摦㍥昳㉥换愹戸攷㈴敥㉥㥢㌰㝣搱〰摣㐸搴㌶攱搶㥣㡡㝦改晡㡤㜳㠱ㄱ㠸㍤慤㙤㡤㐹摡㠶捤㠱慤㠴㉦摦㜷㜹敢戰搳㐶戵㈶挶㔷慤戰昹㍤㉤捤昶慣攷㉥㜴㙥㍤散㠹晢敢慤㙤㉢ㅡ㠷㔰㕢㤱㜳户敤㌲㙣ち搷㌵㍣戹攴晡挲㤱换ㅢ戱㘷慤昲㔹攱捤〹㡡㐴㔱㤱㕢扤㤰㑤ㄱ搷㡦捣㌸搸㈸戸戵昲扥㘴慤㜹晢㙡〰㘶ㄶㄵ慣㜷㔹㜸挱摡扣戱㔰ㄵㄷ㌵㜵〹摦㠹㠶摤㑤搵㠷摤㜲捤㥦㜴㥤挰㜳慢捤㉤攳㤵ㄵ〳㤲愶㜲摣慤㠸㕣㉥㈳㠵〲〴㙥㌶慢㈸㤹敢㍡昳㠲㐴㐴〲挵㘴攴㑢㥡挹㙥昴㈴㜶㠷㕤㔴〵㘹㔲㝤晦〶㤳㜱扤㔲挶愴㜰㘰㘲㑦搴ㅦ㝣改㌵ㅢ㑣㕢挷摣㍢摢㔹㔵㠷愲摤摦扥㈲㥣攰愸攱㔴慡挲㑢搵㝥ち㔷愴て㈰搳捥㐳㈰㜴㠴ㅥ㔵㥤戲慡慣㘹攷慣㑡戰㤴㕦ㄲ搶攲㔲㠰㍡㘸挸㐲㠱愰㙤㑢晡〵愸搲㜷㌲ㅢ㐲㔶㉣㘶昲扢搸㈹㕦㐴捡㘸㤴㑥㈹扣摣㈴挸㌹慥㠹㤷晢捣挳㔶㌵㄰愱㔰ㅥ㌰㠱㤱㔰慢㐹昴昵㤳㐴㍤愳ㅣ㉡㡣㕤收㈴愸搴戰㥣㘰慤挱户㙤㕣ㄲㄲ搱戶㉣搸㜲戲㠰愲愰㔹ㅥ愴昰ㅡ㠸愶㐵ㅡ愴㜷㑥㄰ㄱ搹㈰㐵戳㘳收㘶㈲㘳晦ㄴㄹ㠱晥㐹㈲㘴敦㝤㥤㘵〴㠹扤㥤㐸㌹愸㈳㍦㙥㑢戳昵㙣昹㔰㥡㕤〸挰改ㄷ㌱扢㤸搹㈵捣㜶㈳㔳㕥㠳㠴愳㤴㐳戹㌹改㤷攲㔹扦㡣搹㝢㤰㐱㍥改㤴㌹㤱愸愲つ戵ㄹ㍢㤲晤晡㘱㈷㑢愳㌸ㄴ㐵戴㡣敢㜶㘶扦㉤ㄱㅤ㔹㥤㕢㐳搷收愴㡥晤㐰㘷摡㑣㙥㠷ㄴ㤹搲㌵戹搷つ扡㈶〱挱慥㕤敡慤㉢㌰㔴ㅦ㘶昶㕥㘴㐵晤㝤捣愱㕣㘸昰㙥捥愲愷㐹昹慥㌰㡢㐲㘳愸㑢〵ㅦㄱ㌲㡦〰㈹㐲慥敤昸戲㙤㐳搳ㅣㅣ㌱摦昵㌶昴摥捥晣ㅤ㈱扤㐵㙦㙥敢ㅤ晡㡢摥愴ㄵ㝤㈵搸㑢昹㘳㐷ㅤ㜳ㄵ㥡昵て㌰扢ㅡ㔹㡢㡥攱改晢捤㝡ち愴㔹㙣㈷㌰户㤳㕥ㄷ㘹攵捥慦㉤ぢ愹㠱晡捣㜹挳㕢ㄴ〱㍣ㄸ挷愶㘰ぢ扢㥥㈷慡㌸搴㔶㘴〵捦㉦ㄷ㌷㔷晡㠷㍤搷㘶晤戶㡤散扦㉢ㄴ㐳㉥愷㘶㌳㉤㌶㜲㡡慤㤹昰㌹㈵㈸㠷㍡昸㠶捥㐲㈲㌱愸㤹扣㌸㉥晤㝣戹㉤㐹扡㤰㈴搷〲慣晡㜵挸㈰㈵㤴摦㜷㤴㈸㝢搹敤㠳戲㕢戳挵㑡て㕦捡改愴挵㠷搸㈶㐷㝡㐳㠷敤〴晣〷㝥扦㍤㘷搹㜵㘱搱㙢捦ち慦っ摦㠲㔵ㄵ挵搰㉤㑢㔱戳㉤㉢摥㈵戲㈲㥢㙤㍢㑦愷昸搷㈴㥤戴㐸㠹㔴㙥㑦㙤㑣㌹㡢㌷㠸㡡㙥㐸ち㤵ㄴ搷㔰㕤〲㤱昲搸㜷㕢挴㜴㈱㘲慥〷攰昴㝤捣挶㤸敤㐷愶扤っ㐹戳㔹挰㌳ㅣ搶戳㐲㤷㜶愹㤴㈹㄰つ搲㐵昸㔲㐷㘱㜵㠰慦戹㠹搹捤挸㕡捣ㅦ㍡㈰㔳〸㔱愲㍣㐱㠸㌲㡣㘱㥥戶挴㌹搲挰づㄳ㠱愵挹㥡ㅦ戸㌶㈳㑢晤收㤴㝢挲つ愶㉣㝦ㄹ㤱愸㈱㌳㉡摣戵㈴ㅣ㔰㤷〷摢愷愵捥㕤㕥ㄶㄵ摤㥣㜳㙢㄰㙤挷愶戶挲挱ㅣ攰㠰㉤㈹捦收慡㠲搴摤昹ㄸ㔳㈸㠰戴昴户搲ㅢ扢㈹敦㌷て㝤〳つ㠸捥㕢㐱㔵昴㥡㈱搳戱㕣㌰〱㐵㐴づ㉡㍤收晣㤲㈷挴㔴扦㜹挴戳㉡㔵换ㄱ㐴〶㙣㑣〶敢愶挵㈲愲〴戳㉥㘳㠰慥搳㙦捥㝢㠶攳㉦ㅢっ㈸慥敤㙣㝡㤲㘱ㄱ捤㥣戰ㅣㅦ慦㤱㔸㘴㜹挰㥣㕢㜲捦㈱㘲㕢戳㥤㈳挶戲扦㈵戰㐲愲て㤳㐴㡤愲㉡慡慡ㄴ搴㐲户昸攱㠱㍣㤳㈱敦攵㤸㐹㕣㘵㌴晡捣㔳戴㌷敤晡㈸㐶㐳㍢㥤㙢敡㐳昴愸㕥㤹㑤㤵挲攴㔴晤㔶㡥戹つ搹ㅤ㐷㑥ㅤ㙢㐴收摥㔲捣㕡愳㤷㍦㐵挶㑢戲愸〷㐲攸愳摢ㄱ㤲ち敢㐸㌹攰㐰㘰㥣㑦慤攴㔷㌴㘵ㅦ㔲摦㡥㐶昱㌰㈲㐹㝤收戴戱㈰慡㠸㐷摢㐶戰㈳㝣愰ㄹ㙢ㅢ㔵㍦㙡㥢㜴㙤摢㈰㘹㤱㉣攷捡〶㈹㜸扣ㄶ戸挷㉤㐷㌷㤱㐹晡㡢慡㡣㔵㔴ㄹ慢戲慡捦㍣挹搰愰㉣㜳㉥㜷搱昰慣㘰挹戶捡〵㍥㌰㝣户㈵㘸ㄲ㑣㑥挹ㅢ愷㔸㘶っ户㔸昳愷㘰戲昹愳㐰昷㈸攴㈸㐱㐷昴㠳㜲㔵㈵㡦㝦㑡㤷㡥㈵〸ㄸ改㈹搵㍦㡣搹㌴㜹㍢〲㈲㐷愶昳昱ㅤ㡣昳㥦㐶㑤㈸㠴㠸昵ㄴㄲ㠱㔷㌰㈱攴改攲捥㥢愷ㅣ㉢〰昶㠸戱挳㔶㌰攵〳攵挸㔰㤴挷摢㍤ㄲ慢㠹㐱㈳㜵慤㜰㐵㝢㔳㤳㥡戸扣扤㍤愹㌷摥扦㑥㜳愸㔱ㄲ㡡㘴愳㑥㔲戳慣戳挶慤愴㙡ㄴ愹戸㘳㙤愳愴戹㑤ㅢ㜰愷ㄴ㜹ぢ㡡㐹搲㑣㐶晦㠸㈴ㄴ〴㝡㈳ㅤ㐵㥦㝤㍡㜹㈴㈲㌶戴〱㡡搴㔳㘱㕤㝦ㄴㄲ㍣㠶㙢㈷ㄵ㔱㡣㥥挰摦㍢愲攲㑣㉤㘸㙡㌱㔶㠷愲㤶昱㙡㜵挶㠱㤵㔰㌶扣捡ㄶ㘱㘹散㉤搴㌰㤲㍢扢搵晥㈱㜸ㄳ㡣ㄸ戱㈱挳㈲㈹㝥㘰戰㈱㤸㉢ㄱ㔱愵㜵搶㑦㔰搷慢ぢ㝣㍡㉥っ㐷㘲㘰㉥愸㑣㠹ㄵ㘹㠶㌵㉣昹㈱㌹愰㝥㕡㤴㜲㔴㌷挷ㄷ㝣愸昴㠰㜲㍣㉡㐹〶搷捤㤳㜴㑢攱ㄲ〳挴㙥㔴㥡㉤〷〸敤搶㈷攰挹㘰敢㘰〷㄰〹㐳㈷戴捥㈸㐱昳㈹㠴摢扣〹昲㑥㤷ㄸ㠵㈰㌵㘵㝡晤㤰昲搴㤳㑣㍦㌸㤴㠹ぢㄱㄳ㌱摣㤵㘲㍤〰戹挹挸㈴戹㘸㈸づ㤸㠷㤲㑤ち慤扥戸㡥㈶㐶㍦㑤㍥㉦挰㉤ㅥ挶戲〶挸㌶㔵摣㜳ぢ㉣㘸搳敡摡づ昳㤸㔳慥搶㉡㐲慡攲㔸㔶㑢㡤扣㈵昰㈵慦〰㠶摣㤴〲㤷〸㈸挷㜰㤴攲㤶㠹愴敥敤㙥晤㄰㠶㑢㈱㠷㌹㐲搵挷〰㘴㡡㕢㑥〶挴摡敥㈹搰㍥摣搹戸挰㈰㉦捦㐱愴戵㔵㔱㤶㑤攳㍥㕥㍤㡡㉣戹㉤搱㙤摡㥤㜶㘹戳㈷慡㡥㕡㘱搵㤶挰ㄱ昶ㄹち扣㝣ㅥ挶㐸㤷摣挱㐹㌲攷愳攸敥昹㑦换挷捣㜹愰㐲㘲㐰㘱㡣㤷愷愰っ愰ち㐶愲挱慤㌶慣㙥㠵搱㕦㕡摥晡㌸㌲㠵㘱㘰ㅡ戴攸ㄹㅡ㌸㤳㈸㙦㙣攰㕣㠱㕥㈹ㄱ搲㘴㌰㤵㌱捡㈱㌸散㠱㌴㜰ㄳて搲昳㉥㤴㔰戰㑢㕥っ㡢敦㈶㡥搸㌸〲戹摥㐵㉤㤵戳㐶㠰敢㉦捥敥㤶敡昱㑡㠵收㉥晣㜳㕢〲慢戸扡ㄱ㥡愳扢㕡㉥㘵挹㍤搱扥扢戲愵㈱扡㉣戸㝦㙡昴愸ㄱ㤴㤷收㠲戵昰攲㔶户㈴愱扤〸㝦挴扡㙦愷捤㥣㜳㜸ㄱ㜵㠵戰㉦㥥㜵摣㜳㡥㕣㤷收昳搶ㅦ㈸〴㔷㈸㝢戸挸㘲收摦昸㈷㤳㥡搱㝥㠱ㄹ㌷戳㙣㑥搰㜰㤰㜰ㅥ㤹㐲㘹㌰㡣㜲ち㥤挰㜶慦摦ㅡ㈰㥤散㙡愱ㄳ㈹〸戶〹挵㔹㝣摢〸㐵昹㌹搰㑡㘲〹㡦攴㠰昹戳㘰㝤攵〵搴㄰攱㜸㡥挴㠸昶㕥㤴㔲㔰㈷〵㜹㜴挵㠳ㄷ㐲晥㝦戰ㄴ㜳昳扡散昴㕦㘰㘶攵昹㔶ㄴ㕤㑥ㄴ晤慣つ㐵ち慦㠱㐸晥扤㈳㉡昰㐱㘳㜸昶㑤〵挲戹愷敤〳攸㍢㝥攱昷㝦㜸〰㥤〶㠶㤹愴㡤㠶㔰摢㔵㈸搷㑤㠴㙣㥢㠹挰攰扤㌴ㄱ㡥㜳っ愳昸愱㠹㄰昹㐰㘶㔰戱戱㠹挰搸㕥㡡㈱㤸〸戵㈶摣ㅡ㍣㠱㕤㘴搳㍦㜶ㄴㄷ㙦㠵㡦㜸㍥㤴㤶㍦〹㡦搴挵敤搵戳㠶㘷搸扢㘵晤ㄱ㑦㐰㤹㜹昳戸挹㉤㠷㜰挴㥥㜵㕢攴愰㜵㝣ㄵ戱㤷㝤摢㥦戲戹晢敢挰㔴㤸㐲昷扤㔲㔰昲㙦挱㔳愲昰摣㤰昹搴慥ㅦㅤ昹搳〳㡦ㅣ攲㙤戵㠸㔶戵敢㔰敥㈶㘴㑦㝢〲㐱摤挴㐵㤱ぢ昹㘱捥㜱㝣愲㘴㉤㔷挵㠴攱㐹㉢挸搷敤戸ㄸㄲ㕥㠲㌰㐳攲摢ち㈶㈶敥㍤㠴㈶收㘸㡢扢㔳㝥搸㈴㕤㠴愳㠹㠵㑢㥦㕥ㅣ㌶㔴㍡㉡戲㉥慤㑤敤㈷㔰㐵㙦㜲㈱捤㔶㈲㑦㥤㑣㡡昲攳㔶㕤㜷㠰扡㉥㍣挸㌰散ㅦ㑢㈹挴ㅦ㐸㈱挹㠳っ㉦〴㐸㈹㜵ㄲ〵敤㝡㘴㈹㤱戵搶㄰㉦晤〱摢㐲㐰搴㉦晤㜵昹ㄱぢ愰〸㉣挶扥昸㙥㑦戴戴㐵㘳搵挴㔰慤戴㘹收㔰㤰㠷ㄷ㔶㡣挵戵昳㈸挴㐹摢㡦搲愶摤㔱㝣㐹扦ㅤ〶摥㐲挶搶㙣晡摡㡡昶敤㑥つ㌷㍦愰㘷昲㔲㘱㌸㍢㔹㡤〳愹㡣搱㠵㕤㡢㘱ㄵ昳㠱戰㔸ㅦ搴ㅢ㌵㐱㘷㌹扢㜱㉡㐵昰㡦㕦ち戱㝤愴㌱昵㠵慤㉤搴㜱㑥て㌶挸ㅦ散慦换㔳ㄸㅢ㙦㈵挷㐰挲㙥慡㔷㈱扣ㅥ㝥ち㐳戸改㡣愲㌷㡡昲㔹㌹㠰㍦㌱㘷㘵搵㌶晤捦攸戵攴慣搳ㅣ捤㌰㜶㤳晥扦ㅢㄵㅢ敡㝦㠵戱㌷㠹挸㝢愲㠲㌴㑥ㄹ㍦搹㌰㘴㐳㠸挰戳㡤攰㡤㍣ㄸ敢戲挸㤰㜷㔸㥡挳挷慢㘱戳㤴攰昰㝢攵㕡慦㐶搴挷搲戶敤敤㈸〰ㄹㅢ搲㥥㠵〸敡㌸扥㔹㙥挵愷摢晣㈷㌰㜰搷㜱慢散戹扥㙢〶挳㜳〸晡づ昳摢㌳ㄳ㌶捦戸昲晤㔶愱㜶㈵㈰搱㜷㉦挶㥣㤸㠱挰㍥㈱㠲户㉢ㄶ挹挸挲收㈲ㄹ晣づ㘹㌰ㄱ㕥愲㜶昰㉦㌰敦慣ㄹ㔵㝣扡㍡〳㕦㘷挰慡㉤愱散㐲㡦㜳敢つつ㠲づ㜷戴㍥〶㝦㤰愸㡥㈲㌸㈶户昰㠹㝢〹搷㔶ㄸ㌴昷㡤昶收戳㘷㜷㍥户愲昶っ㜰扡戹户㌴㤳っ摦挹㉦㤲㡢㝡㠹㌹㉥敤ㅦ挲摦捤㍢㘸㌹摢㄰攸㍣晡愰㥢㡥戰㤱㉡摣㘷㥢㠸㝥㥦挱㔰㘵㥣ㄹ㝥扡ㄱㄵ昸愰搰换㐷㔶㔴扥㠳㙤㤱〱㔰捥攴换挸㍡㔳昵搳敢㔱昵攰ㅤㄸ㐳㝥搵〵戲晥慣挲愳〶愹戲愸㍣㠵晥㠴㕡戸晢㐵搶攱攸㈱㡦ㄴ㈸敢㐹㐹慥昰㐸㈱搷昳〴〶搴搷㜳ㅦ㙡㍢慦攷昱昵搶愳搰ㄸ㤰晢㑤捥㍦ㄸ㉢ㄳ摤收慢ㅤ㘶㉥戳㘵㘴㠳㜱捦〱㡡㐹敥㈵ㅦ㠶ㅡ㕥㈰愶㤰㝥ㄷ晤㝤昵搰换㉦㌱晤晤㤰㈲〵㈳㥡㥡㜷㐱挱㈸㜷昱㤵攴㉥㝣搴㜶摥挵㤷搶摢挵㈰㘵愶㠴㙡つ〵㐰戵㠴㍦㜲㔷㉢㈸㄰愰晣㈹㘷㤸攱搷戴㡡㐱〳㌵㜲散㉡ち晤㔹㡤㠸昹㔰㘷敤㐲攳㌱晥ㄴㄶ挱㠱愶㙦㕥㙦挷㌷慣㙢㡣㜶㘷昱〹扦㈶㔵㘱㑥扤慤扢戹㘲㜳㤴㥡㑣㝢っ扢㝥ぢ昳㜰搳つ㥦㈳㘷摣㠳㕦〱㤶㈳挹㑣㠲攴〱ㄴ㘲㐰㘹挴㝡捡㤷㑤搲㌸攴㉤㔰㍡戲昲愱㈷㍡ㅦ㥡〴〵㍢㜲㐱㙦〹挱㠸㉤昱㔳攱㡥晡㉣摦攵昵〶攵搱㤸ち㡦ㅥ㡤㍦ㅢ㔳愳㠰ㅢ戸㈰㌴挷挹㌵〴愴昲㐸摣昹愷捦㌵晣挵㘸㐰〲慢㠴㥤挹㕤戲昳㘷攳捥晢昱㐹㥡散㤳㈱㐱㌱扤ㅡ㜷㈶ㄷ捡捥て挷㥤晦戶㝦㜷扤㜳捣㜴攱捣ㅡ㌹㈲挵搰㤷㐷㥦挴攷改〳攸慥㤹㌴ㅥ㝡捤戰㥡㠴㈸攳收㔵㘹㍥昴攱㈶㡣㠷て挴愷㜱戱ぢ昷㕦愰㘱挲晦㑦挴㌱㕣昸㥡㌲〲〳摦㝦慦㈰搲敥改昲㠹㠳昳收㡣㠷㡡ㅥ昳㤸㡦〳㘵㘵㑢㤱〸㙣愱㕣〸摦つ㈲ㄲ㈹㜶㜳〳ㅥ㜱㠴㔰攵〵㥡敥㌴愷㡣㉡攵㤴㠷㘲捣㘶ㅥ㙡搰㡣晥ㄹ㈰〷㍡〱㌹ぢ晡挳挸挳㈸搴㉥㔶っ㔲搸㐹㐹昶〸ㅢㅥ㘵昶㌹㘴㐵㠵㤲㡤㜴㤰㝦っ搹㐰晣㝦改ㄸ㕥㤱捥㈲㔵㔹㡤㕦㤶㈴㈳晤昳ㅣ昰〵㘴㔹昸慥㤵㠸〸㡢晡ㄷ㔱㤳㝣㈹〵㠷㝣改㤷搹昰ㄵ㘶㕦㐵㔶搴戸搸㑤㐳㡤㝢敡㔲㙤㝦つ㐳ㄵ㠲㠲㜳攸㕦㡦ち㝣㔰〸〷㡡㜳挵挱づ㈹㐳愹㙤ち㙡㕥㈱㙣㘴㠳ㅤ㌵ㅣ㤴つ㡡㐲㜸挹㠶㙡搴㐰㕤愶㍦㡥㑣㈱㍣戸㈷晤㥢㝣㈲ㄸ攴ぢ㥦㠸ち昲㠵㠴㠱ㅣ扥搴昲㐲挲㐵㌶㉣戶扣㤰戰㤲つ㘶昲㠵摦攲愴㜲㘳㈸㌴慢㉢㙥㔰挲晢摢㈸昴㘷〷戸戶扢昰㔳㔷㤵昲㤹捡㤹㌳㙦っ攴㠶昷攴敥晥㘸摦㤳慦晥昶捦摦㜸攵㤳〷晦晡慦愷㥦㝥攵㉦摦㜸改㕦㉦㉥ㅣ晣昵㌳捦晣敡㡥敦扥昴攷㥤收昷搴攷摥㤸晥摥㠳㘳㘷ㅦ扣摦㍣㜵摤㤱〷敦戹敦捥戱搹ぢ㐶戲搹㥥㥥慢㠷㝥㜳挹㌵㠳て摤晦扣昲换㍦㕣散㈸㜲扢㜸㐱昳㌲戸㙤戹㡣敦愲㠰㘵㜰挵敦攸㌲戸㕤〹愸㌳ㄱ愰㈶㔰㐱ㄵ挶〵挸㠶㔲㜳㐳敦㝦〰㜳愰扢㈸</t>
  </si>
  <si>
    <t>eb06ca12-06f8-4e25-9b68-d6d7d31ce507</t>
  </si>
  <si>
    <t>Worksheet: [Formatted_Assembly_Line_Sim.xlsx]1.6_7. bỏ_color_box,_dán_ke</t>
  </si>
  <si>
    <t>Cell: C19</t>
  </si>
  <si>
    <t>Weibull distribution with parameters:</t>
  </si>
  <si>
    <t>e36f8730-5039-4103-8287-7bf104c2641a</t>
  </si>
  <si>
    <t>㜸〱捤㔹换㜳摣㐸ㄹ㤷㌴㤲㐶㤲㘷散㈱㡦㘵戳散㔲捥㍥㔸㌶㌶㠳㘷晤㑥㌰ㅢ㝢㈶㜱㑣㥣搸挹㌸〹户㈹捤愸攵㔱慣㠷㤱㌴戶㠷㉤㙡㈹㡡慡扤昰㉦㔰㜰收戰㔴㜱愰㠰㑢慡㌸㐱昱㈷挰つ㡡ㄳ㔵㈴摣㌸㠵敦搷搲搸㌳昲挴㜱戲愱㉡敤㑣慢㥦㕦㜷㝦捦㕦㜷〴㔱㄰㠴愷㤴昰㐵㤲㔱㜸扢摥㡤㘲收㤵慢㠱敢戲㔶散〴㝥㔴㕥づ㐳戳扢敥㐴㜱㡥〶愸つ㠷晡㈳愵ㄱ㌹㍦㘴㕡㘳㡦㠵ㄱつ㔲〴㐱搳㜴㠹晡㐱〴扦㔲慦愲㘳㔶㐱愶㙣慢扡戲搱㝣㐸㔴敢㜱㄰戲挹昱晢挹摣愵㑡愵㕣㈹捦捣㔷收捡㔳㤳攳搵㡥ㅢ㜷㐲戶攴戳㑥ㅣ㥡敥攴昸㘶愷改㍡慤㥢慣扢ㄵ散㌰㝦㠹㌵愷愶㥢收捣㐲㘵㘶㜶搶㕥㕣㕣㈸搰搲挲敤敡捡㘶挸散攸㔵搱㔴㐱㜳愳扡㔲扥捤攲㔷㐵㌳㑦㌴㠹㘴㉤昰㑣挷㝦㐵㐴ㄵ昰㜶戶挶㕡づ㠴挰㔸攸昸摢㘵摡昶〰愳愹㌶㕦㕥㡥愲㡥户ぢ㜹㔶㤹敢摥㘵戶㐶㌳㜵慦ㄶ挵㥢㘶攸㐵〵て晣㘳㈱昳㕢㉣ㅡ昵慥ㅤ戴㤸㥢づ㡣㌴敦扥ㄹ摥㌶㍤㈶愳㌰收㈵㌲㕣戳㤸ㅦ㍢㜱户攸摤㡢搸㕤搳摦㘶ㄸ愲㜸慢ㅤ挷ㄲ㘵㤹晥〹戹て㠷敤㡣ぢ㡡昶攳㔵摢㘶ㄸ昳ㅡ㐴㔸ㄹ㌶戶㑦㕤昸㈹〶昶〵㤵ㅡ捦捣㠲捣敡㡥㜷㤳㠵㍥㜳戱〸㈴㌹㤱ㄹ挴ㄹ㤴挸攱㤰㔳扤攳㐰㑡攲㐸㙡〴㌸ぢ㔶㔱挱慣慢户ㅣ晦摡㐱ㅣ㌲㡦㑤慥㍢㍢捣㜵㔸ㄴ㉦㔵愶换戳㔳㜳戳搳搳昳昳㤵㠵挵戹㤹捡挲㘴扤㘵扡㙣愹㔲㥥㥡㥢㥥㥤㥦㕦㥣愹捣㔵㘶ㄶㄶㄷ收㜵㥤愸攸〶攸㡤㔰㔶慣㤹戱㌹㕥㈷㤹戱㘸扣愲ㄷ搰㔹愴㑣㤴晦㐳㐶搹扦〵㡣㤶ㅡ愶搴㘸㑡㡤㤶搴戰愴〶㤳ㅡ戶搴搸㤶ㅡ㙤愹攱㐸㡤㠷㔲㘳㠷挶昴㤲㤶捦㑢㘹晡愵晦愳㝦㈸㍦晤敦㡤㐷㤷ㅥ㕤晣搹愷晡㠵挲ㄸつ扡㤳ㅥ慦ㄶ㥡晢愴㌰㐷扡昸㜱㜹ち㝦捦㌷㐲戲㐱㝢搶㥥户㉢ㄵ㙢㜶捡㥣㌶ㄵㅣ敤戴搲㉥搱搸㠲晤挰昱慤㘰㥦㡢晦敤ㄵ㌳㘲㐷摡㌰㤱昶慤〴ㅤ摦㡡扥㌶扣戳ㅥ㥢㌱㝢㉢摢㜷㐴攴搸戴㠴搱㝣扤慦㘷愷摤㌷摤づ㕢㍥㜰㈲摥晤㑥愶㥢㑣㈳㘸㍥扢昷㝡挸㝥㜰搸㝢㙣㐷换攴㐳昷㌸敤㘳愷㑣扡㔲〵愸戶㠳㠸昹㝣晤〹㙦搳㘹敤戰戰捥攰㠱㤹挵㡦㝡ㅥ㕤愹㝤㑥㙣昸㜴㔰戲㌸敢摤晥㔶㥢戴㤳昹ㄶ戳㘸扦扢㉣㡣扢㕢㘶搳㘵㙦っっ㐹搶愴㡥ぢ〳捤搷㠳㔶㈷慡〶㝥ㅣ〶敥㘰捦戲戵㘷㤲㑦戰㙥〵ㄶ㈳㤳㤶㤱挸扦攷㜲愲㈸㕣ㅡ㘶㔷愰ㅢ㤵戹㈰晡㐴っぢ㝦㜳㔰敤捡㜷改㜴㜴ち㤷㐱㈷愵昷㥦㐳㡣搳〵㤹㡦㥥㍤戰敦㑣〸㔷ㄸ晤捤㘷㡦收㝢㍣㤴摣晦㜷戰㈴㥤㑤㑦㝦㙤㡦晣收つ搳户㕣ㄶ㥥ㄸ㙣㐵散㐸㠷戱㈸晦㈶㠷昰㑣敥挱㐱㠹〷㘲㔷搹㜷慣戸慤戶㤹戳摤㡥愹㡤〲戲愶㠱戵挷㤲㝥㠶㥡昴戳挸捥㔱㘶ㄸ㠲㝡ㅥ㠳㔴㐳㝦㈳愹㉢昰㔲㉦敥㤱ㄱ昲㜵ㅥ〱㈸㕣㐷㡡㜷㍤〸愳㕣㙥搸㈹㙦㤸㔱㍢㠶㝡㥥搸㠹愳改㕦㐵昶㈶㘵ち㕣攴㜳ㅤ㍥㑥㉣㈳慥ㄵ扤ㅡ戳㑤㐲ㄳ摣扡㐵㔳昱㤲〰㔵㘳㔱㑢㐷㈴㕢㈳㕢㌹㔰愹㐴挶㕦昰愰晤散㈰㠶㔳捥㝢ㄴㄳ㐹㑡㍡つ㥡攰戳㤲ㄲ㘶ㄶ㜹㕢㙦戶㤱搶㠸㐲㠹ㄷ晢愸㡣昰㠶㠴ㄲㄹづ搹㡢㤰㑢昳㤳て㐱㝢㐷搴㔲戳㡡㍥ㄸ摢㈸攴㕡慢捣摦敡敥戲〸挳㌵昵㐴㔶㘶捤ぢ挴㌶㕡捤㝢戱攳㐶㘵摡改㙡ㄸ㜴㜶㕦㈵ㅤ搰搲㉦㔰搶㑢捡㍦㐹㡢㑦㝦㈶㘰挸晣ㅥ㘴搳㘸搰攱愸㠶ㄶㅤ戱㔰㠷戶ㄲ戱愷昴攱㐹㝦㠷㍥挶㐹㝤ち㈲敢㡢攰〰ㄸ㕦挱㈳づ㙤㠵㡣㈳ㅢ㡤㔷㠸摢㐵敦㐱㄰敥㌴㠳㘰〷晡㌴捡㙢㔱㥢戱ㄸ㘸㘱㈴㐵㐷ㅣ〵㠹㘲㉥㌷㄰挷晢㘰〵㜰㠶㝡㤱戲攲戲敢㡥昷㈸㐶敡扢搴㤴〳㙥㜹㡦ち攳㘴㐰㥥ㄹ㔳っ㘸㄰㝥㘳㕥搳敤㌶搶ㅤ㥦㌵〸攲㤴て摣攸㐰晣ㅢ㜱〱㜰㘱敡昳攰敦㡢㥢戹攵㥦㝣晥改ㄳ昹㡦搶㕢攲㕦搳㡥㉣〰㔰攰㔰㕥挰㜱㜳㝥摢昷ㅤ戶て㑤ㅢ戵〹散㔵㍢㔱ㅣ㜰戳㈸摡戵攰㜶㄰搷㥣㘸搷㌵扢㘷敤戴昰愰捤㝣ち㕡㈱敤㍢搳ㄶ散敥㌲㑢户敢㐱㈷㙣戱戵摡敢㄰搴㠸ㅤ愴㕡㍣㥥㐹㈲愵㤷昳搳〲捤㈴㐷㑡㐹㔰攰㕤戳收挶㈱㘷㕦㘸攴㐵㠸㘲散㠸愳㕢㑥散戲ㄱ㥢㠷㈵㕥搶㙣攲㈲㈱〱㉢㙦㙦戵㐹つ㙢㐵㝢㌵㜴㉣㤷㌴〰挲㌸㤷っ㕤㘷摢ㄴ昵㌷㠳挸〱扡㉦摡㕢愱改㐷扢㜰㘰慤敥㤹㠱ㅡ昷㜴㡡扤攲昸ㄱ㉤挳愵㠸昲㤸㕤㙦〷晢㜴攱敢㜸晥慡戹ㅢ扤ㄶ㔲㠱戱㈷㠹㡢㐶㤴㐴㐹ㄲ㌵㐹㝢㔹昹㈰愰〹挲挷昴㤳㤱㜱㔹〹ち㘲㘰搶㈵昵㠹㉡㠳㈷戰愷㠱㡢搲搰搰㜶㜸㕢收昱晢ㅢ㤸昳㈱㘵摦㕢扤户㜶㠴戴扦搴㤵㔷㐱搴㍥㌵戰㠱戳ㅣ㑤㔴〵㘰〷㥡㐳ㄶ㐸ㄲ㐷㉤慢㝥㠶捤挷㐰ㄳ㐷㡦㡡搷㈹㌶ㄶ散㜵戳挹摣挴㈳㡤㈶ㄵ㘰㉢捦㜴愳戴慦ㅡ㜸㥥〹搵挲挵㡥摦㠲㌴㝢戹ㄳ〷㜴㜱搲㙤捡戸晥愵㑤收〱㌵㤹〷㐹昰戵敦〲敡昳㌲㘸〵摢㘶攸挴㙤捦㘹㘹愸〰㡥扦ㄶ㍡㠹扢ㄹ㌱戳㤷㝡㍥㈳ㅢ捤㤳㤸㑡攲㉥ㄳ〰〶敢㈰㝥搲㕣㐹㔴改㑦㝣㐹㈴㐸ㅥ㠶挷㍤晤㈳愲愶昰挷ㄵ㐰ち愴挷扤㈷㥣挷㥦㔱ぢ㜷㐲㈲㠰ㅣ扡昵㑢ㄸ㤱㈶ㄹ㔸敡㐴㤸㠰戰㘴慣〷愶㜵摤㙣搱㈳㑤㍥㝤愲搱㐸戴㜰㈹㘱〹挰慤㑡㜷〱扡㘳散㌹ㄶぢ㌵㌴搴改㈹㐸〶攴㔳ㄳㄹ㔲〸换〹㡡㌲愲つ㕢㙢慤㐷敢晤㌴ㅣ昶㍦㌵慤ㅤ愳晦慦㍢ぢ㥦㘰晢㠶㠱户づ㝤〲搹㈴㘵㈲㈰㈱捥㤳ㄹ昰㉤っ㈸㔳愶〰㝣㘴㘵㌳㠸愱〸㘹攱攲㉡昳挷つ愰㍢㡤㤰㄰㠷㠵ち㍦挸㐸ㅦ㥣㔳ㄳ㈴愷昵㕥㑣搴㍡㘹㌹戳㡣挴㡦〲㌶㐲ㅣ㤲㈴㤳愸搵散㔵昸搸戲㐴捣慢㌳㡥昳㐴㘰ㅢ昵摢㤴㥤㠷戱㄰晤挶攰换㐰ㄶ敤ㄸ㠶㕥愱搱㠲㈱〲昶昴㔸〰㉡㠶〱昹改㜰㜰晡㌴㘵㈲扣て搷㠲㤹戴〰ㅥ㉡搰愰㉣㘳㡥㈹㉤㌴摤戰愱扥昵戸敢㤲换㐰ㄱ㡣㑡㑡㄰㜹搲㑤攲ぢ㐲㝡㍢㤴戳㌷㤴挳戹㠰攴㈳攷㌲户㍦㍥つ㍤戰づ攵㉦〴㔷㥥㌹ㅦ㈷㌸㠲㠲㤸㠳愴捥㔱㜶敥㤶搳ち㠳㈸戰攳昱㍡㠵㍤晥㥣㘲ぢ挲搴戲昲㘷愲㌸㜴㑤ㅣ㑣昶昱㔶戵〷㜴㘹散昸挱扥捦㜷愳㐴㜸㔴攰晣捡攷戱㑣ㄲ㌴愸昰ㅥ㜱戱搴戳愴ㄲ㜴㄰愹〴㍤㐴㉡㐱改㤰㑡㔰㍣㈴〵ㄲ㍡慤ㄶ㘰㐷㘲㔳㙣㠹㤶挸攴㝣㕥晣㈰㜳㘷㍤愶㍤㠷愰㕦㔵㈱㜶攵㑦㜴搶搳㑤ㅡ㘴㈵搷ㄹ㈲愰㉦㈲扢㑣㤹㔱攲㈱㤲㑡敡ㄵ捡捥㔴㔷〸㜹づ〰㕥昵㍢搴㕥愰㜶㙥㈱昴㤰ㄸ愹㑢搴昲ㄵ㙡ㄹ㝣ㄸ㔴扦㑢捤愳搴摣ㄷ㐵㑢搰㑡ㅣ㔷〷扣攵㙦㘱晡㌲㑡㌰挳ㄲ㤴㤴㜷㔶愹㔰捣㡤㘱㔷〸愲搸㘶㕦㝡捣晤〱㌵㕣㑤ㅡ戵昴㕢扡㍡㠶㈳っ捣昸挵㤳㕦㕤昹攰攷扦㝥㥡㝥㍦晢捤㘵㤱㝤㍦㌷㜱昵捥ㅦㅥ摤㝡㈸㍦昹㐴挴敡戸ㅢ攸ㄷ㤱〱㝤昳慤㠹扦㑦昱昳㌱㘰晤扢戴攳ㄸ戰挶愶㥦〷慣晢ㅥ愱愰㕦㡡つ㠳ㅡ戱㤳㘶㐸㤵㑣捡㜱㕤慥㡤〵㡡㡦㈱㍤〳〱昰㔳㔴㈴挸㥦昲㤷㘰㈰ㅣ㐴捦〳敢扣㠶挹慡扤ㄱ㤲㑢捥摢㙢ㄱ挱㜴㑢愳㙢㉣摤ㅤ㐲晦㜵〸㥥攴ㅦ㘴〴㉤㠴〶㜲㤴搲㔰搳〴㑦㑥挰㌵㐷晣攸扤敥㐸〸慢㉦㠷搸㜹㌰㤵挵摦㤲㌸攱㉡っ攱挷㐲㝡㥦㤴〴晤㈶㙤挴攰㥥㤳㌲㐳㕦愷㙡ㄲ㝣昹㍢㠹㠲敥㔳敦ㄳ㈶㜷㤶㈴㥡晥㜷ち搰捣㠴㡢晦㑣ㄹㄶㅣ〷挱攳㙤㥡㉡㘲㜱搰搰㌷搲〲㉡㈲敦㐲㙢捦㉢㔱㔹㈸㘱〸户愰㍢㔴㈸收ㄴ㝣慥㘴扣挹㜰㝣㍢㤱㝤㍣扣㐶㡦㠱㕤㐸㉣㐷㠱㍤〹㠷戲㜴昹攵㘸㐱㌹㘱㤶晣昷〵㜱晢㑢搰挱改㡦㠲〱㈸慥搰㑦ㄳ㠵㤱晦〱㙡戲晦㡢</t>
  </si>
  <si>
    <t>Worksheet: [Formatted_Assembly_Line_Sim.xlsx]1.7_8. master_carton,_keo</t>
  </si>
  <si>
    <t>Minimum Extreme distribution with parameters:</t>
  </si>
  <si>
    <t>㜸〱敤㕣㕢㙣ㅣ㔷ㄹ摥㤹摤㔹敦慣敤搸㡤搳㑢㐲㥢扡㜷㠸㠳ㅢ愷つ愵搰㄰㝣㘹㉥慤ㄳ扢戱㤳㠲ち摡㡣㜷捦搸搳散捣戸㌳戳㡥㕤㉡戵㐰ぢ攲づ㤵㑡搵ぢ戴慡㔰㈵㕥戸扣㜰㝦〰〹〹〴〵昱〰て㐸㝤㈸〸挱〳〸㐵攲愵㐸㐸昰㝤㘷㘶㜶㘷㜷扤㘳㜷摢㠲㡢㝣搲㍤㍥㜳㙥㜳捥㝦㍦晦㝦愶ㄹ㈵㤳挹晣ㅢ㠹㝦㤹㜲㉣㕣㌹户收〷挲ㅥ㥤㜴慢㔵㔱づ㉣搷昱㐷挷㍤捦㔸㥢戶晣㈰㡢づ昹㤲㠵㜶㕦㉢昹搶㠳愲㔰㕡ㄱ㥥㡦㑥㕡㈶㔳㈸攸㉡摡㌹〹㝦㠳昱㠳捥㔱㝤㌹㘴昳㤳ㄳ㌳ぢ昷㘳搶戹挰昵挴晥攱戳攱搸挳㘳㘳愳㘳愳户摥㌶昶慥搱〳晢㠷㈷㙢搵愰收㠹挳㡥愸〵㥥㔱摤㍦㍣㕢㕢愸㕡攵扢挵摡扣㝢㕥㌸㠷挵挲㠱㕢ㄶ㡣㕢摦㍤㜶敢愱㐳收敤户扦扢て慦捥㥣㥡㥣㤸昵㠴改扦㐱㜳㙡㕣昲慤㔳愲㙣㜱㙦㐲㜸㤶戳㌸㍡㌹㠱晦ㄲ敢挷搳㙤愳㜳㑢㐲〴㝣戵昰㠴㔳ㄶ扥㡥㠱扤昶戸敦搷散㘵〲㑦户㡦㘲慢㘵挳て㌴㝢㔲㔴慢扡ㅤ捦㕡戰㘷〰扢慡戱搶㘷捦〹挷户〲㙢挵ち搶昲昶㍣㈶慡昴摢㘷㝣㜱摡㜰ㄶ挵㈹挳ㄶ㥡㝤慣㘶㔵㜲㘱捡㘴㙦㡡愷㐸㉥㑣㙥㝦㜴摣户㈷㤷っ㑦慥挸㈷㘰㔲晡ㅥ昵捡捤㝤慦敢㍣㉦㤷㉥摦挰㌹㙦攸摣て㉤㘷つ慦摥㜳愴㜳捦㘸昳捤㉢戸戹㜳晦〴㡣㥡挷扣愳昳ㄸ〹捡收摥㑡㙦㐴摦ㄲ愲搸㡣㥥㘷搶挳慣挰㡣〸搴㡢捣㝡㤹昵㈱㔳㜲晦〰㤷㈴〷戲㐹㉤ㄹ㙡㘹㐱㉤㤵搵㔲㐵㉤〹戵㘴慡愵㐵戵戴愴㤶㉣戵㜴扦㕡㍡㡦㍥㜱㉡昴昴愸㔱㝡㜸摦慢㈷㥦昹昵换攳捦晥昳挷㜷㉣敥㍤晢换扥ㅤ攸㜴㑦戴愸㈹捦戸〰㔲㙢㔰昱挱搱〳晣户㌱㔷㠰㈹捣㐳收㙤收搸㔸攵搰〱攳ㄶ㐳攳戶㔲㤰摦㐴㈸㠳攸摢㘷摥㙢㌹ㄵ昷㠲挴摤㤵ㄳ㠶㉦ㅡ㠰ㅢ㠹摡㈶摣㥡㔳昱摦戶㝥攳㕣㘰〴㘲㑦㙢㕢㘳㤲戶㘱㜳㘰㉢攱换昷敤㙤ㅤ㜶搶愸搶挴昸慡ㄵ㌶㕦搵搲㙣捦㝡敥㐲攷搶愳㥥㜸愰摥摡戶愲㜱〸戵ㄵ㌹㜷摢㉥挳愶㜰㕤挳㤳㑢慥㉦ㅣ戹扣ㄱ㝢搶㉡㥦ㄷ摥㥣愰㐸ㄴㄵ戹搵㑢搹ㄴ㜱晤挸㡣㠳㡤㠲㕢㉢搷㈶㙢捤㍢㔷〳㌰戳愸㘰扤换挲ぢ搶收㡤㠵慡戸慣愹㑢昸㑥㌴散㙥慡㍥敡㤶㙢晥愴敢〴㥥㕢㙤㙥ㄹ慦慣ㄸ㤰㌴㤵㤳㙥㐵攴㜲ㄹ㈹ㄴ㈰㜰戳㔹㐵挹散敢捣ぢㄲㄱ〹ㄴ㤳㤱慦㘸㈶扢搱搳搸ㅤ㜶㔱ㄵ愴㐹昵晡つ㈶攳㝡愵㡣㐹攱挰挴㥥愸㍦昸搲户㙦㌰㙤ㅤ㜳㙦㙥㘷㔵ㅤ㡡㜶㝦攷㡡㜰㠲攳㠶㔳愹ち㉦㔵晢㈹㕣㤱㍥㠰㑣扢〸㠱搰ㄱ㝡㔴㜵捡慡戲愶㕤戰㉡挱㔲㝥㐹㔸㡢㑢〱敡愰㈱ぢ〵㠲戶㉤改㤷愰㑡摦挹㙣〸㔹戱㤸挹敦㘲愷㝣ㄱ㈹愳㔱㍡愵昰㜲㤳㈰攷戸㈶㕥敥㌳㡦㕡搵㐰㠴㐲㜹挰〴㐶㐲慤㈶搱搷㑦ㄲ昵㡣㜲愸㌰㜶㤹㤳愰㔲挳㜲㠲戵〶摦戶㜱㐹㐸㐴摢戲㘰换挹〲㡡㠲㘶㜹㤰挲㙢㈰㥡ㄶ㘹㤰摥㌹㐱㐴㘴㠳ㄴ捤㡥㤹㥢㠹㡣晤㔳㘴〴晡㈷㠹㤰扤て㜴㤶ㄱ㈴昶㜶㈲攵愰㡥晣戸㉤捤搶戳攵㐳㘹㜶㈹〰愷㕦挶散㜲㘶㔷㌰摢㡤㑣昹㌳㈴ㅣ愵ㅣ捡捤㐹㝦ㅢ㥥昵㉢㤹㕤㠵っ昲㐹愷捣㠹㐴ㄵ㙤愸捤搸㤱散搷て㍢㔹ㅡ挵愱㈸愲㘵㕣户㌳晢㙤㠹攸挸敡摣ㅡ扡㌶㈷㜵散㡤㥤㘹㌳戹ㅤ㔲㘴㑡搷攴㕥㌷攸㥡〴〴扢㜶愹户慥挶㔰㝤㤸搹㌵挸㡡晡戵捣愱㕣㘸昰㙥捥愲愷㐹昹㤶㌰㡢㐲㘳愸㑢〵ㅦㄱ㌲㡦〰㈹㐲慥敤昸戲㙤㐳搳ㅣㅣ㌱摦昲㌶昴晥捥晣ㅤ㈱扤㐵㙦㙥敢ㅤ晡㡢㕥愳ㄵ㝤ㅤ搸㑢㜹戹愳㡥戹〱捤晡㡤捣㙥㐲搶愲㘳㜸晡㝥慤㥥〲㘹ㄶ摢〹捣敤愴搷㐵㕡戹昳㙢换㐲㙡愰㍥㜳摥昰ㄶ㐵〰て挶㠹㈹搸挲慥攷㠹㉡づ戵ㄵ㔹挱昳换攵捤㤵晥㔱捦戵㔹扦㙤㈳晢㙦〹挵㤰换愹搹㑣㡢㡤㥣㘲㙢㈶㝣㑥〹捡愱づ扥愵戳㤰㐸っ㙡㈶㉦㡥㑢㍦㕦㙥㑢㤲㉥㈴挹㍢〰㔶㝤ㅦ㌲㐸〹攵㜷ㅤ㈵捡㝥㜶㝢愷散搶㙣戱搲挳㤷㜲㍡㘹昱㈱戶挹㤱摥搰㘱㍢〱晦㠱摦㙦捦㔹㜶㕤㔸昴摡戳挲㉢挳户㘰㔵㐵㌱㜴换㔲搴㙣换㡡户㠸慣挸㘶摢捥搳㈹晥㌵㐹㈷㉤㔲㈲㤵摢㔳ㅢ㔳捥攲つ愲愲ㅢ㤲㐲㈵挵㌵㔴㤷㐰愴㍣昶摤ㄶ㌱㕤㠸㤸㥢〱㌸晤〰戳㌱㘶〷㤱㘹扦㠲愴搹㉣攰ㄹづ敢㔹愱㑢扢㔴捡ㄴ㠸〶改㈲㝣愹愳戰㍡挴搷扣㡢搹㙤挸㕡捣ㅦ㍡㈰㔳〸㔱愲㍣㐱㠸㌲㡣㘱㥥戵挴〵搲挰づㄳ㠱愵挹㥡ㅦ戸㌶㈳㑢晤收㤴㝢捡つ愶㉣㝦ㄹ㤱愸㈱㌳㉡摣扢㈴ㅣ㔰㤷〷摢愷愵捥㕤㕥ㄶㄵ摤㥣㜳㙢㄰㙤㈷愶戶挲挱ㅣ攰㠰㉤㈹捦收慡㠲搴摤昹ㄸ㔳㈸㠰戴昴户搲ㅢ扢㈹敦㌷て㝤〳つ㠸捥㕢㐱㔵昴㥡㈱搳戱㕣㌰〱㐵㐴づ㉡㍤收晣㤲㈷挴㔴扦㜹捣戳㉡㔵换ㄱ㐴〶㙣㑣〶敢愶挵㈲愲〴戳㉥㘳㠰慥搳㙦捥㝢㠶攳㉦ㅢっ㈸慥敤㙣㝡㤲㘱ㄱ捤㥣戰ㅣㅦ慦㤱㔸㘴㜹挰㥣㕢㜲㉦㈰㘲㕢戳㥤㘳挶戲扦㈵戰㐲愲て㤳㐴㡤愲㉡慡慡ㄴ搴㐲户昸攱㠱㍣㤳㈱敦攵㤸㐹㕣㘵㌴晡捣㔳戴㌷敤晡㈸㐶㐳㍢㥤㙢敡㐳昴愸㕥㤹㑤㤵挲攴㔴晤㜶㡥㜹て戲扢㡥㥤㌹搱㠸捣扤慥㤸戵㐶㉦㝦㡡㡣㤷㘴㔱て㠴搰㐷户㈳㈴ㄵ搶㤱㜲挰㠱挰㌸㥦㕡挹慦㘸捡㍥愴扥ㅤ㡤攲㔱㐴㤲晡捣㘹㘳㐱㔴ㄱ㡦戶㡤㘰㐷昸㐰㌳搶㌶慡㝥搴㌶改摡戶㐱搲㈲㔹捥㤵つ㔲昰㜸㉤㜰㑦㕡㡥㙥㈲㤳昴ㄷ㔵ㄹ慢愸㌲㔶㘵㔵㥦㜹㥡愱㐱㔹收㕣敥愲攱㔹挱㤲㙤㤵ぢ㝣㘰昸㙥㑢搰㈴㤸㥣㤲㌷㑥戱捣ㄸ㙥戱收捦挰㘴昳㐷㠱敥㔱挸㔱㠲㡥攸〷攵慡㑡ㅥ晦㤴㉥ㅤ㑢㄰㌰搲㔳慡摦㠱搹㌴㜹㍢〲㈲㐷愶㡢昱ㅤ㡣㡢て愳㈶ㄴ㐲挴㝡ち㠹挰㉢㤸㄰昲㜴㜱攷捤㌳㡥ㄵ〰㝢挴搸㔱㉢㤸昲㠱㜲㘴㈸捡攳敤ㅥ㠹搵挴愰㤱扡㔶戸扡扤愹㐹㑤散㙤㙦㑦敡㡤敢搷㘹づ㌵㑡㐲㤱㙣搴㐹㙡㤶㜵搶戸㤵㔴㡤㈲ㄵ㜷慣㙤㤴㌴户㘹〳敥㤴㈲慦㐳㌱㐹㥡挹攸敦㤳㠴㠲㐰㙦愴愳攸戳㑦㈷㡦㐴挴㠶㌶㐰㤱㝡㉡慣敢㡦㐲㠲㈷㜰敤愴㈲㡡搱ㄳ昸㝢㐷㔴㥣愹〵㑤㉤挶敡㔰搴㌲㕥慤捥㌸戰ㄲ捡㠶㔷搹㈲㉣㡤扤㠵ㅡ㐶㜲㘷户摡㍦〴㙦㠲ㄱ㈳㌶㘴㔸㈴挵てっ㌶〴㜳㈵㈲慡戴捥晡〹敡㝡㜵㠱㑦㈷㠵攱㐸っ捣〵㤵㈹戱㈲捤戰㠶㈵㍦㈴〷搴㑦㡢㔲㡥敡收昸㠲て㤵ㅥ㔰㡥㐷㈵挹攰扡㜹㥡㙥㈹㕣㘲㠰搸㡤㑡戳攵〰愱摤晡〴㍣ㄹ㙣ㅤ散〰㈲㘱攸㠴搶ㄹ㈵㘸㍥㠵㜰㥢㌷㐱摥改ㄲ愳㄰愴愶㑣㝦㍦愲㍣晤ㄴ搳搷㡦㘴攲㐲挴㐴っ㜷愵㔸て㐰㙥㌲㌲㐹㉥ㅡ㡡〳收愱㘴㤳㐲慢㉦慥愳㠹搱㑦㤳捦ぢ㜰㡢㠷戱慣〱戲㑤ㄵ昷摣〲ぢ摡戴扡戶挳㍣攱㤴慢戵㡡㤰慡㌸㤶搵㔲㈳㙦〹㝣挹㉢㠰㈱㌷愵挰㈵〲捡〹ㅣ愵戸㘵㈲愹㝢扢㕢㍦㠲攱㔲挸㘱㡥㔰昵㌱〰㤹攲㤶㤳〱戱戶㝢ち戴て㜷㌶㉥㌰挸换㜳㄰㘹㙤㔵㤴㘵搳戸㡦㔷㡦㈲㑢㙥㑢㜴㥢㜶愷㕤摡散㠹慡攳㔶㔸戵㈵㜰㠴㝤㠶〲㉦㥦㠷㌱搲㈵㜷㜰㤲捣挵㈸扡㝢昱㘱昹㤸戹〸㔴㐸っ㈸㡣昱昲ㄴ㤴〱㔴挱㐸㌴戸搵㠶搵慤㌰晡㑢换㕢ㅦ㐷愶㌰っ㑣㠳ㄶ㍤㐳〳㘷ㄲ攵㡤つ㥣慢搱㉢㈵㐲㥡っ愶㌲㐶㌹〴㠷㍤㤰〶㙥攲㐱㝡摥㠵ㄲち㜶挹㡢㘱昱摤挴ㄱㅢ㐷㈰搷扢慣愵㜲搶〸㜰晤挵搹摤㔲㍤㕥愹搰摣㠵㝦㙥㑢㘰ㄵ㔷㌷㐲㜳㜴㔷换愵㉣戹㈷摡㜷搷戵㌴㐴㤷〵て㑥㡤ㅥ㌷㠲昲搲㕣戰ㄶ㕥摣敡㤶㈴戴ㅦ挱ㅦ戱敥摢㘹㌳攷ㅣ㕥㐴㕤㈱散㡢攷ㅤ昷㠲㈳搷愵昹扣昵〷ち挱ㄵ捡ㅥ㉥戲㤸昹㌷晥挹愴㘶戴ㅦ㘲挶捤㉣㥢ㄳ㌴ㅣ㈴㥣㐷愶㔰ㅡっ愳㥣㐲㈷戰摤敢户〶㐸㈷扢㕡攸㐴ち㠲㙤㐲㜱ㄶ摦㌰㐲㔱㝥〰戴㤲㔸挲㈳㌹㘰晥㈲㔸㕦昹㍥㙡㠸㜰㍣㐷㘲㐴扢〶愵ㄴ搴㐹㐱ㅥ㕤昱攰㠵㤰晦ㅦ㉣挵摣扣㉥㍢晤ㄷ㤸㔹昹㕥㉢㡡昶ㄲ㐵摦㙤㐳㤱挲㙢㈰㤲㝦敦㡡ち㝣搰ㄸ㥥㝤㑤㠱㜰敥㘹晢〰晡愶㕦昸晤ㅦㅥ㐰愷㠱㘱㈶㘹愳㈱搴㜶〳捡㜵ㄳ㈱摢㘶㈲㌰㜸㉦㑤㠴㤳ㅣ挳㈸㝥㘸㈲㐴㍥㤰ㄹ㔴㙣㙣㈲㌰戶㤷㘲〸㈶㐲慤〹户〶㑦㘰㤷搹昴㡦ㅤ挷挵㕢攱㈳㥥て愵攵㑦挲㈳㜵㜹㝢昵慣攱ㄹ昶㙥㔹㝦捣ㄳ㔰㘶摥㍣㙥㜲换㈱ㅣ戱㘷摤ㄶ㌹㘸ㅤ㕦㐵散㘵摦昶愷㙣敥晥㍡㌰ㄵ愶搰㝤慦ㄴ㤴晣敢昰㤴㈸㍣㌷㘴㍥戲敢ㅢ挷晥昰攰愳㐷㜸㕢㉤愲㔵㙤ㅦ捡摤㠴散㘹㑦㈰愸㥢戸㈸㜲㈹㍦捣㌹㠹㑦㤴慣攵慡㤸㌰㍣㘹〵昹扡ㅤㄷ㐳挲㑢㄰㘶㐸㝣㕢挱挴挴扤㠷搰挴ㅣ㙤㜱㜷捡て㥢愴㡢㜰㌴戱㜰改搳㡢挳㠶㑡㐷㐵搶愵戵愹㝤ぢ慡攸㌵㉥愴搹㑡攴愹㤳㐹㔱扥搹慡敢づ㔱搷㠵〷ㄹ㠶晤㘳㈹㠵昸〳㈹㈴㜹㤰攱㠵〰㈹愵㑥愳愰摤㡣㉣㈵戲搶ㅡ攲愵㍦㘰㕢〸㠸晡愵扦㉥㍦㘲〱ㄴ㠱挵搸ㄷ摦敤㠹㤶戶㘸慣㥡ㄸ慡㤵㌶捤ㅣち昲昰挲㡡戱戸㜶ㅥ㠵㌸㘹〷㔱摡戴㍢㡡㉦改户挳挰㕢挸搸㥡㑤㕦㕢搱扥搳愹攱收〷昴㑣㕥㉡っ㘷㈷慢㜱㈰㤵㌱扡戰㙢㌱慣㘲㍥㄰ㄶ敢㠳㝡愳㈶攸㉣㘷㌷㑥愵〸晥昱㑢㈱戶㡦㌴愶扥戴戵㠵㍡捥改挱〶昹㠳晤戵㌷㠵戱昱㔶㜲っ㈴散愶㝡ㄵ挲敢攱㘷㌰㠴㥢捥㈸㝡愳㈸㥦㤵㐳昸ㄳ㜳㔶㔶㙤搳晦㡣㕥㑢捥㍡换搱っ㘳㌷改晦て愰㘲㐳晤慦㌰昶㈶ㄱ昹挱愸㈰㡤㔳挶㑦㌶っ搹㄰㈲昰㙣㈳㜸㈳て挶扡㉣㌲攴ㅤ㤶收昰昱㙡搸㉣㈵㌸晣㕥戹搶慢ㄱ昵戱戴㙤㝢㍢ち㐰挶㠶戴ㄷ㈱㠲㍡㡥㙦㤶㕢昱改㌶㝦ㅦ〶敥㍡㘹㤵㍤搷㜷捤㘰㜸づ㐱摦㘱㝥㝢㘶挲收ㄹ㔷扥搶㉡搴慥〳㈴晡㍥㡣㌱愷㘶㈰戰㑦㠹攰㡤㡡㐵㌲戲戰戹㐸〶扦㐳ㅡ㑣㠴㤷愸ㅤ晣㑢捣㝢㙡㐶ㄵ㥦慥捥挰搷ㄹ戰㙡㑢㈸扢搰攳摣㝡㐳㠳愰挳ㅤ慤扢攱てㄲ搵㔱〴挷攴ㄶ敥晢㌰攱摡ち㠳收扥搱摥㝣昶散捥攷㔶搴㕥〰㑥㌷昷㤶㘶㤲攱㍢昹㐵㜲㔱㉦㌱挷愵晤㈳昸扢㜹〷㉤㘷ㅢ〲㥤㐷ㅦ㜴搳ㄱ㌶㔲㠵晢㙣ㄳ搱敦㜳ㄸ慡㡣㌳挳㑦㌷愲〲ㅦㄴ㝡昹挸㡡捡㔷戱㉤㌲〰捡㤹㝣ㄹ㔹㘷慡㝥㜶㍤慡ㅥ扣ぢ㘳挸慦扡㐰搶㥦㔵㜸搴㈰㔵ㄶ㤵愷搱㥦㔰ぢ㜷扦挸㍡ㅣ㍤攴㤱〲㘵㍤㈹挹ㄵㅥ㈹攴㝡㥥挴㠰晡㝡敥㐷㙤攷昵㍣戱摥㝡ㄴㅡ〳㜲扦挹昹〷㘳㘵愲摢㝣戵挳捣㘵戶㡣㙣㌰敥㌹㐰㌱挹扤攴挳㔰挳昷㠹㈹愴摦㐴㝦㕦㌹昲慢㤷㤸晥㜶㐴㤱㠲ㄱ㑤捤扢愰㘰㤴扢昸㝣㜲ㄷ㍥㙡㍢敦攲戳敢敤㘲㤰㌲㔳㐲戵㠶〲愰㕡挲ㅦ戹慢ㄵㄴ〸㔰晥㤴㜳捣昰㙢㕡挵愰㠱ㅡ㌹㜶ㄵ㠵晥慣㐶挴扣户戳㜶愱昱ㄸ㝦ち㡢攰㐰搳㌷慦㜷攲ㅢ搶㌵㐶扢戳昸㠴㕦㤳慡㌰愷扥愷扢戹㘲㜳㤴㥡㑣晢㈴㜶晤㍡收攱愶ㅢ㍥㐷捥戸〷扦〲㉣㐷㤲㤹〴挹㠳㈸挴㠰搲㠸昵㤴㉦㥢愴㜱挸㕢愰㜴㘴攵㐳㑦㜴㍥㌴〹ち㜶攴㠲摥ㄲ㠲ㄱ㕢攲愷挲ㅤ昵㔹扥换敢つ捡㘳㌱ㄵㅥ㍦ㅥ㝦㌶愶㐶〱㌷㜰㐱㘸㡥㤳㙢〸㐸攵搱戸昳户扦搳昰ㄷ愳〱〹慣ㄲ㜶㈶㜷挹捥ㅦ㡦㍢ㅦ挴㈷㘹戲㑦㠶〴挵昴㑡摣㤹㕣㈸㍢㝦㉣敥晣搷㠳扢敢㥤㘳愶ぢ㘷搶挸ㄱ㈹㠶扥㍣晡㈴㍥㑦ㅦ㐰㜷捤愴昱搰㙢㠶搵㈴㐴ㄹ㌷慦㑡昳愱て㌷㘱㍣㝣㈰㍥㡤㡢㕤戸晦〲つㄳ晥㝦㈲㑥攰挲搷㤴ㄱㄸ昸晥㝢〵㤱㜶㑦㤷㑦ㅣ㥣㌷㘷㍣㔴昴㤸㈷㝣ㅣ㈸㉢㕢㡡㐴㘰ぢ攵㐲昸㙥㄰㤱㐸戱㥢ㅢ昰㠸㈳㠴㉡㉦搰㜴愷㌹㘵㔴㈹愷㍣ㄲ㘳㌶昳㐸㠳㘶昴㡦〲㌹搰〹挸㔹搰㍦㠶㍣㡣㐲敤㘲挵㈰㠵㥤㤴㘴㡦戲攱㌱㘶㥦㐰㔶㔴㈸搹㐸〷昹㑦㈲ㅢ㠸晦㉦ㅤ挳㉢搲㔹愴㉡慢昱换㤲㘴愴㝦㡡〳㍥㡤㉣ぢ摦戵ㄲㄱ㘱㔱晦っ㙡㤲㉦愵攰㤰㉦晤ㅣㅢ㍥捦散ぢ挸㡡ㅡㄷ扢㘹愸㜱㑦㕤慡敤㉦㘲愸㐲㔰㜰づ晤㑢㔱㠱てち攱㐰㜱慥㌸搸㈱㘵㈸戵㑤㐱捤㉢㠴㡤㙣戰愳㠶挳戲㐱㔱〸㉦搹㔰㡤ㅡ愸换昴㈷㤰㈹㠴〷昷愴㝦㤹㑦〴㠳㝣攱㤳㔱㐱扥㤰㌰㤰挳㤷㕡㕥㐸戸挸㠶挵㤶ㄷㄲ㔶戲挱㑣扥昰ㄹ㑥㉡㌷㠶㐲戳扡攲〶㈵扣扦㠲㐲㝦㜶㠰㙢扢ㄷ㍦㜵㔵㈹㥦慢㥣㍢昷敡㐰㙥㜸㑦敥〳敦敦㝢敡㤵㕦晣昱昱摦㝥攸昰㕦晥昵散戳扦晤搳攳㉦晤敢㐷ぢ㠷㝦昶挲ぢ㍦扤敢戹㤷晥戸搳㝣㕥晤捥慢搳捦㍦㌴㜶晥愱〷捣㌳晢㡥㍤昴挱晢敦ㄹ㥢扤㘴㈴㥢敤改戹㘹攸攷㔷扣㝤昰㤱〷扥愷晣攴昷㤷㍢㡡摣㉥㕥搰扣っ㙥㕢㉥攳㌹ㄴ戰っ慥昸㑤㕤〶户㉢〱㜵㉥〲搴〴㉡愸挲戸〰搹㔰㙡㙥攸晤て扡㐵扤㌸</t>
  </si>
  <si>
    <t>e432ae53-e872-44b9-8c49-7e2d16922149</t>
  </si>
  <si>
    <t>㜸〱捤㔹㑤㜳ㅢ㐹ㄹ㥥ㄹ㘹㐶㌳㘳挹ㄶ㜱㤲摤㠵㕤捡搹て㐲搶㡥戰㘲㍢戱㌷㤸㡤㉤挵㡥㠹㘳㍢㤱㤳㔴㜱㔱㡤㌴㍤搶慣攷挳㍢㌳戲㈵づ㉣㍦㠰ㄳ㕣戸㔰摣㈹㙡户㡡㉡㈸昶㐶ㄵㄷ㈸㡥ㅣ攱〸搴ㅥ愸㈲换ㅦ〸敦搳㌳戲愵戱散㌸搹㔰㤵㜶搴搳㥦㙦㜷扦㥦㑦㜷〴㔱㄰㠴愷㤴昰㐵捡愲昰㘶慤ㅢ㐶捣㉤㔵㝣挷㘱捤挸昶扤戰戴ㄴ〴㐶㜷摤づ愳っつ㔰敡㌶昵㠷㜲㍤戴㝦挸搴晡㍥ぢ㐲ㅡ㈴ぢ㠲慡㙡ㄲ昵㠳〸㝥挵㕥㐵挳慣㝣㤶戲敤捡昲㘶攳㈳愲㕡㡢晣㠰㑤㑤㍣㡡攷㉥㤶换愵㜲㘹昶㐶昹㝡㘹㝡㙡愲搲㜶愲㜶挰ㄶ㍤搶㡥〲挳㤹㥡搸㙡㌷ㅣ扢㜹㤷㜵户晤㕤收㉤戲挶昴㑣挳㤸㥤㉦捦捥捤㔹ぢぢ昳㜹㕡㕡搸愸㉣㙦〵捣ち㕦ㄶ㑤〵㌴㌷㉢换愵つㄶ扤㉣㥡㌹愲㐹㈴慢扥㙢搸摥㑢㈲㉡㠳户㜳㔵搶戴㈱〴挶〲摢摢㈹搱戶〷ㄸ㑤戵ㅢ愵愵㌰㙣扢㝢㤰㘷㠵㌹捥〳㘶愹㌴㔳㜳慢㘱戴㘵〴㙥㤸㜷挱㍦ㄶ㌰慦挹挲㔱昷㜶愷挹㥣㘴㘰愸扡㡦㡣㘰挳㜰㔹ㄶ㠵㌱㌷㤶攱㥡挹扣挸㡥扡〵昷㘱挸ㅥㄸ摥づ挳㄰搹㕤㙤摢愶㤸捤搲㍦㈱㜳㜹搸捥戸愰㘸㍦㙥愵㘵〴ㄱ慦㐱㠴攵㘱㘳晢搴㠵㥦㘲㘰㕦㔰愹㠹搴㉣挸慣㘶扢㜷㔹攰㌱〷㡢㐰㤲㤳愹㐱㥣㐱戱ㅣづ㌹搵㍢づ愴㈴㡥㈴㐶㠰戳㘰ㄵ〵捣扡㐹㡣㘲㤱㍦戵敥㌷つ昰㜱㤱昴㜵㘱㜶愶㍣㜳㙤攱晡昴晣㜴戹㍣㍦㌳㔵㙢ㄹ㝢㙣㜱戶㐴搵㠵㤹㙢㌳戳搳㌷收ㄷ愶攷㘶㙥㘸ㅡㄱ搰㜴㤰ㅡ愱慣㔰㌵㈲㘳愲㐶攲㘲攱㐴㔹换愳戳㐰㤹㤸晤㉦搹㘳晦敡ㄸ㉤搵つ愹摥㤰敡㑤愹㙥㑡㜵㈶搵㉤愹扥㈳搵㕢㔲摤㤶敡ㅦ㐹昵㕤ㅡ搳㑢㙡㉥㈷㈵改昲ㄷ㍦晦昵搲㕦㙦慥晣收戵㝦摥昹挱㠷㍦㕢挸㡦搱愰晢挹挹慡㠱㜱㐰扡㜲愴㠶搷㑡搳昸㝢戶晤㤱昹㔹㜳搶つ慢㕣㌶攷愶㡤ㄹ㐳挶搱捥㉡攸㈲㡤捤㕢㡦㙤捦昴て戸攴摦㕣㌶㐲㜶愴〸㤳㐹摦戲摦昶捣昰ㅢ挳㍢㙢㤱ㄱ戱慦愷晢㡥㠸ㅣ㥢ㄶ㌳㥡慦昷捤昴戴㐷㠶搳㘶㑢ㅤ㍢攴摤㙦愵扡挹㉡晣挶挹扤㉢〱晢昸戰昷搸㡥㤶挸㝤敥㜳摡挷㑥ㄹ㜷㈵ち㔰㘹昹㈱昳昸晡㤳敥㤶摤摣㘵㐱㡤挱昹㌲㤳ㅦ昵〲扡ㄲ搳㥣摣昴攸愰㘴㙣收摢晤慤搶敤㑥挴㍣㤳㤹戴摦㍤ㄶ㐴摤㙤愳攱戰㡢〳㐳攲㌵愹攳㡤㠱收ㄵ扦搹づ㉢扥ㄷ〵扥㌳搸戳㘴敥ㅢ攴づ捣㝢扥挹挸㥡戳㐸攴摡㌳ㄹ㔱ㄴ摥ㅦ㘶㔲愰ㅢ㤶戸㈰晡㐴っ攳㝥㝤㔰敤㑡て攸㜴㜴ち㠷㐱㈷愵㜷㥦㐱㡣搳〵㤹㉢㈷て散㍢ㄳ㈲ㄵ㐶㝦晢攴搱㝣㡦㠷㤲晢晦づ㤶愴昱攴昴户昷挹㘵摥㌱㍣搳㘱挱愹㜱㔶挴㡥㌴ㄸ㡢晣ㅦ㜲〸㈷㜲て扥㐹散㠸㕤昹挰㌶愳㤶搲㘲昶㑥㉢愲㌶㡡挵慡ち搶ㅥ㑢摡㌹㙡搲挶㤱㥤愷㑣搷〵攵〲〶㈹扡㜶㌱慥换昰㔲捦敦㡣ㄱ敤㌵敥晣㈹㔲㠷戲扢攲〷㘱㈶㌳散㤴㜷㡣戰ㄵ㐱㍤㑦敤挴搱戴搷㤰扤㑥㤹っㄷ昹㑣㕦㡦ㄳ㘷ㄱ搲ち㙥㤵㔹〶〱〹㙥摤愲㈱扢㜱㙣慡戲戰愹㈱㠸慤㤱慤㜴ㄴ㉡㤱昱攷㕤㘸㍦敢㐴㜰捡㌹ㄷ㕥摥㡢㌴ㅡ㌴挹㘷挵㈵捣㉣昰戶摥㙣㍤愹ㄱ㠵㈲㉦昶㔱ㄹ攱つ㌱㈵㌲ㅣ戲ㄷ㈱㤳攴愷ㅦ㠲昶㡥㠰愵愴ㄵ㝤㌰慣㔱戴㌵㔷㤹户摤摤㘳㈱㠶慢捡愹慣㑣㥢ㄷ㠸㙤㌶ㅢて㈳摢〹㑢戴搳搵挰㙦敦扤㑣㍡愰愵扤㐱㔹㉦挹晦㈲㉤㍥晢㤹〰ㅦ㜳晢㤰㑤扤㑥㠷愳ㅡ㕡㌴挴㐲つ摡㑡挴㥥搲㠷㈷敤㉤晡攸愷昵挹㠸慣捦〳〱㘰㝣㜹㤷㌸戴ㅤ㌰づ㙡㔴㕥㈱㙥ㄷ摣挷㝥戰摢昰晤㕤攸搳㈸慦㠵㉤挶㈲〰㠵㤱〴ㄸ㜱〰㈴㡡㤹捣㐰ㅣ敦㐳ㄴ㠰ㄸ捡㈵捡ち㑢㡥㌳搱愳ㄸ㉡㙦㔳㔳〶㤰攵ㅤ㉡㑣㤰〱戹㐶㐴㌱愰㑥搰㡤戹つ愷㕢㕦户㍤㔶㈷㜴㔳敡㌸㘱㐷晣㍢㜱〱㜰愱昶改戵㝦〴㕦㝣㕥晤挹摡㡦慥㕥晣改愵㌵昱㙦㐹㐷ㅡ〰挸㜰㈸捦攱戸㌹扦慤㐷㌶㍢㠰愶㡤㕡㠴昳㉡敤㌰昲戹㔹ㄴ慣慡扦攱㐷㔵㍢摣㜳㡣敥戸㤵ㄴㅥ户㤸㐷㐱㉢愰㝤愷摡晣扤㍤㘶㙡㔶捤㙦〷㑤戶㔶㝤ㄵ㠲ㅡ戱㠳㔴㡢挷㌳㐹愴昴㘲㝥㕡愰㤹攴㐸㈹〹㌲扣㙢摡摣㌸摡散ぢ㡤扣〸㔱㡣ㅤ㜱㜴摢㡥ㅣ㌶㘲昱戰挴换慡㐵㕣㈴㈴㘰收慣敤ㄶ愹㘱戵㘰慤〶戶改㤰〶㐰ㄸ攷攳愱敢㙣㠷愲晥㤶ㅦ摡〰愴〵㙢㍢㌰扣㜰てづ慣搹㍤㌷㔰攳㥥㑥戶㤶㙤㉦愴㘵戸ㄴ㔱ㅥ戳㙡㉤晦㠰敥㝡㙤搷㕢㌵昶挲㔷㐲㉡㌰昶㌸㜱搱㠸㤲㈸㐹愲㉡愹㉦㉡ㅦ〴㌴㐱戸㐶扦㉣㌲㉥㉢㐱㐶っ㑣扢愴㍥㔱愵昰〴昶㌴㜰㐷ㅡㅡ摡づ㉦捡㍣㝥㝦ぢ㜳㉥㔳昶晤搵㠷㙢㐷㐸晢㉢摤㜶㘵㐴敤㌳〳ㅢ㌸换搱㔸㔵〰㜶愰㌹㘴㠱㈴㜱搴搲敡愷㕢㝣っ㌴㜱昴愸戸㐲戱㌱㙦慤ㅢつ收挴ㅥ㘹㌴慥〰㕢戹㠶ㄳ㈶㝤ㄵ摦㜵つ愸ㄶ敥㜴戵愶攱㌰搵㕡㙡㐷晥㍤摢搳㉣捡戸晥㈵㑤㐶㠷㥡㡣㑥ㅣ㝣慤〷㠰晡扣っ㕡晥㡥ㄱ搸㔱换戵㥢㉡㉡㠰攳慦㠴㑥攲㙥㐶捣散愵㥥捦㐸㐷昳㌸愶㤲戸㑢〴㠰挱㍡㠸㥦㌴㔷ㄲㄵ晡ㄳ㕦㄰〹㤲㠷攱㜱㑦扢㐲搴㘴晥慥〲㐸㠱昴愴昷㝡昳攴ㄳ㙡攱㑥㐸〴㤰㐳户昶㍥㐶㈴㈹ぢ㉣㜵㉡㑣㐰㔸搲搷㝤挳㕣㌱㥡昴㍥㤳㑢㕥㘷㔴ㄲ㉤㕣㑡㔰〴㜰慢搰㕤㠰敥ㄸ晢戶挹〲ㄵつ㌵㝡〵捡〲昲㈹戱っ㈹㠴㘵〴㔹ㅥ㔱㠷慤戵搶愳昵㙥ㄲづ晢㕦㤹搶㡥搱晦昷晤昹て戱㝤㕤挷㌳㠷㌶㠹㙣㡡㌲ㄱ㤰㄰攷㐹つ戸㡡〱㈵捡㘴㠰㡦戴㙣〶㌱ㄴ㈱㉤㕣㕣戳晣㕤〳攸㑥㈵㈴挴㘱愱捣て㌲搲〷攷㤴ㄸ挹愹扤挷ㄲ㠵慥昹〱㌳昵搸㡦〲㌶㐲ㅣ㤲㤴㈵㔱㉢改慢昰戱㘵㠹㤸㕢㘳ㅣ攷㠹挰㌶捡㜷㈸扢〰㘳㈱晡昵挱㤷㠱㌴摡搱㜵慤㑣愳〵㕤〴散改戱〰㔴㜴ㅤ昲搳攰攰戴ㄹ捡㐴㜸ㅦ慥〵戳㐹〱㍣㤴愱㐱㘹挶ㅣ㔳㕡㘸扡㙥㐱㝤㙢㔱搷㈱㤷㠱㈲ㄸㄵ㤷㈰昲戸㥢挴攷〷昴㙣㤸㑤摦㔰づ攷〲㤲㡦㥣㑦摤晥昸㌴昴挰㍡攴扦㄰㕣㌹㜱㍥㑥㜰〴〵㌱〷㐹戹㑥搹昹㝢㜶㌳昰㐳摦㡡㈶㙡ㄴ昶昸㜳㡡㈵〸搳㑢昲㥦㠹攲搰㌵㜱戰慣㠷㘷慡㝤愰㑢㝤搷昳て㍣扥ㅢ㌹挴愳〲攷㔷㉥㠷㘵攲愰㐱㠵㜷㠸㡢挵㥥㈵ㄵ愱㠳㐸㐵攸㈱㔲ㄱ㑡㠷㔴㠴攲㈱挹㤰搰㔹戵〰㍢ㄲㅢ㘲㔳㌴㐵㤶捤攵挴昷㔲㜷搶㘳摡㜳〸晡ㄵ〵㘲㤷晦㐴㘷㍤摢愴㐱㔶昲挹㐴㐰㕢㐰昶〱㘵㝡㤱㠷㐸㉡㈹㌷㈹㍢㔷㔹㈶攴㌹〰㜸㤵敦㔲㝢㥥摡戹㠵搰ㅢ㘲愸㉣㔲换搷愸㘵昰㑤㔰昹ㅥ㌵㡦㔲㜳㕦ㄴ㉤㐲㉢㜱㕣つ昰㤶扦㠵㘹㑢㈸挱っ㡢㔰㔲摥㔹愱㐲㈱㌳㠶㕤㈱㠸㘲㥢㝤改〹昷〷搴㜰㉢㙥㔴㤳㙦昱搶ㄸ㡥㌰㌰攳㤷㕦晥敡收㝢扦昸散㘹昲晤攴户扢搶㤵㡦扦㥣扥昵挷㈹昶㠷慢㜳攳户㐴慣㡥扢㠱㜶〹ㄹ搰㌷摦㥡昸㜹㠲㥦㡦〱敢摦㈷ㅤ挷㠰㌵㌶晤㉣㘰摤昷〸〵晤㤲㉤ㄸ搴㠸ㄵ㌷㐳慡㘴㔲戶攳㜰㙤捣㔳㝣っ攸ㄹ〸㠰㥦愲㈲㐱晥㠴扦〴〳攱㈰㝡ㅥ㔸攳㌵㑣㔶慣捤㠰㕣㜲捥㕡ぢ〹愶㥢㉡㕤㘳改敥㄰㜸慦㐲昰㈴晦㤰㐵搰㐲㘸㈰㐷㈹つ㌵㑤昰攴ㄴ㕣㜳挴㡦摥敢㡥㠴戰晡㘲㠸㥤〷搳慣昸㍢ㄲ㈷㕣㠵㉥晣㔸㐸敥㤳㤲愰摤愵㡤攸摣㜳㔲愶㙢敢㔴㡤㠳㉦㝦㈷㤱搱㝤收㝤挲攴挶㐹愲挹晦愴〰捤㑣㍡昸㝦㤴㘱挱㜱㄰㍣㙥搰㔴ㄱ㡢㠳㠶戶㤹ㄴ㔰ㄱ㜹ㄷ㕡㝢㕥㠹捡㐲ㄱ㐳戸〵摤愷㐲㈱㈳攳㜳㌳攵㑤㠶攳摢挹昴攳攱㙤㝡っ散㐲㘲ㄹち散㜱㌸捣㑡ㅦ扣ㄸ㉤㈸㈷捣㤲晦㍥㈵㙥㝦〵㍡㌸晤㔱㌰〰挵㘵晡愹愲㌰昲㍦㜳㉤晦ㄸ</t>
  </si>
  <si>
    <t>Worksheet: [Formatted_Assembly_Line_Sim.xlsx]1.5_6. luồn_hdpe,_hộp_nhu</t>
  </si>
  <si>
    <t>Monte- carlo Crystal Ball line 6 simulation</t>
  </si>
  <si>
    <t>2ca2d78f-3bb9-4ed2-bb3c-78c854610759</t>
  </si>
  <si>
    <t>㜸〱敤㕣㕢㙣ㅣ㔷ㄹ摥㤹摤㔹敦慣敤搸㡤搳㑢搲㥢㝢㉦㜵㜰攳戴改つ㐲昰愵戹戴㑥散挶㑥ち㠲㙡㌳摥㍤㘳㑦戳㌳攳捥捣㍡㜶愹㐴㈹㉤ㄵㄴち㔴攲摥搲慡㐲㤵㜸攱昶㔰捡攵〵〹〹㠴㡡挴〳㍣㈰昱㔰㄰㠲〷㄰㡡攰〱ㅥ㤰捡昷㥤㤹搹㥤摤昵㡥摤㙤ぢ㉥昲㐹昷昸捣戹捤㌹晦晤晣晦㤹㘶㤴㑣㈶昳㍡ㄲ晦㌲攵㔸戸㙣㙥捤て㠴㍤㍡改㔶慢愲ㅣ㔸慥攳㡦㡥㝢㥥戱㌶㙤昹㐱ㄶㅤ昲㈵ぢ敤扥㔶昲慤㠷㐵愱戴㈲㍣ㅦ㥤戴㑣愶㔰搰㔵戴㜳ㄲ晥〶攳〷㥤愳晡㜲挸收㈷㈷㘶ㄶㅥ挴慣㜳㠱敢㠹扤挳愷挳戱〷挷挶㐶挷㐶㙦扤㝤散戶搱㝤㝢㠷㈷㙢搵愰收㠹㠳㡥愸〵㥥㔱摤㍢㍣㕢㕢愸㕡攵㝢挵摡扣㝢㔶㌸〷挵挲扥㕢ㄶ㡣㕢敦ㄸ扢昵挰〱昳捥㍢敦攸挳慢㌳㈷㈶㈷㘶㍤㘱晡㙦搱㥣ㅡ㤷㝣敢㤴㈸㕢摣㥢㄰㥥攵㉣㡥㑥㑥攰扦挴晡昱㜴晢攸摣㤲㄰〱㕦㉤㍣攱㤴㠵慦㘳㘰慦㍤敥晢㌵㝢㤹挰搳敤挳搸㙡搹昰〳捤㥥ㄴ搵慡㙥挷戳ㄶ散ㄹ挰慥㙡慣昵搹㜳挲昱慤挰㕡戱㠲戵扣㍤㡦㠹㉡晤昶㈹㕦㥣㌴㥣㐵㜱挲戰㠵㘶ㅦ愹㔹㤵㕣㤸㌲搹ㅢ攲㈹㤲ぢ㤳摢ㅦㅤ昷敤挹㈵挳㤳㉢昲〹㤸㤴扥㠷扤㜲㜳摦㙢㍡捦换愵换㌷㜰捥敢㍡昷㐳换㘹挳慢昷ㅣ改摣㌳摡㝣昳ち㙥敥摣㍦〱愳收㌱敦敡㍣㐶㠲戲戹户搲ㅢ搱户㠴㈸㌶愳攷㤹昵㌰㉢㌰㈳〲昵㈲戳㕥㘶㝤挸㤴摣㍦挰㈵挹㠱㙣㔲㑢㠶㕡㕡㔰㑢㘵戵㔴㔱㑢㐲㉤㤹㙡㘹㔱㉤㉤愹㈵㑢㉤㍤愸㤶捥愲㑦㥣ち㍤㍤㙡㤴ㅥ㜸敡㝢㝦㥢搸晦昷愹愷㥦㝢攰挵㉦㍦昶捦㌳㝤㍢搰改扥㘸㔱㔳㥥㜱づ愴搶愰攲晤愳晢昸㙦㘳慥〰㔳㤸〷捣摢捤戱戱捡㠱㝤挶㉤㠶挶㙤愵㈰扦㠹㔰〶搱户捦扣摦㜲㉡敥㌹㠹扢换㈶っ㕦㌴〰㌷ㄲ戵㑤戸㌵愷攲㕦扡㝥攳㕣㘰〴㘲㑦㙢㕢㘳㤲戶㘱㜳㘰㉢攱换昷㕤搱㍡散戴㔱慤㠹昱㔵㉢㙣扥扣愵搹㥥昵摣㠵捥慤㠷㍤昱㔰扤戵㙤㐵攳㄰㙡㉢㜲敥戶㕤㠶㑤攱扡㠶㈷㤷㕣㕦㌸㜲㜹㈳昶慣㔵㍥㉢扣㌹㐱㤱㈸㉡㜲慢ㄷ戲㈹攲晡㤱ㄹ〷ㅢ〵户㔶慥㑥搶㥡㜷慦〶㘰㘶㔱挱㝡㤷㠵ㄷ慣捤ㅢぢ㔵㜱㔱㔳㤷昰㥤㘸搸摤㔴㝤搸㉤搷晣㐹搷〹㍣户摡摣㌲㕥㔹㌱㈰㘹㉡挷摤㡡挸攵㌲㔲㈸㐰攰㘶戳㡡㤲戹愹㌳㉦㐸㐴㈴㔰㑣㐶扥愴㤹散㐶㑦㘲㜷搸㐵㔵㤰㈶搵㙢㌷㤸㡣敢㤵㌲㈶㠵〳ㄳ㝢愲晥攰㑢㙦摣㘰摡㍡收摥摥捥慡㍡ㄴ敤晥敥ㄵ攱〴㐷つ愷㔲ㄵ㕥慡昶㔳戸㈲㝤〰㤹㜶ㅥ〲愱㈳昴愸敡㤴㔵㘵㑤㍢㘷㔵㠲愵晣㤲戰ㄶ㤷〲搴㐱㐳ㄶち〴㙤㕢搲㉦㐰㤵扥㤳搹㄰戲㘲㌱㤳摦挵㑥昹㈲㔲㐶愳㜴㑡攱攵㈶㐱捥㜱㑤扣摣㘷ㅥ戶慡㠱〸㠵昲㠰〹㡣㠴㕡㑤愲慦㥦㈴敡ㄹ攵㔰㘱散㌲㈷㐱愵㠶攵〴㙢つ扥㙤攳㤲㤰㠸戶㘵挱㤶㤳〵ㄴ〵捤昲㈰㠵搷㐰㌴㉤搲㈰扤㜳㠲㠸挸〶㈹㥡ㅤ㌳㌷ㄳㄹ晢愷挸〸昴㑦ㄲ㈱㝢敦敢㉣㈳㐸散敤㐴捡㐱ㅤ昹㜱㕢㥡慤㘷换㠷搲散㐲〰㑥扦㠸搹挵捣㉥㘱戶ㅢ㤹昲㈷㐸㌸㑡㌹㤴㥢㤳㝥㈹㥥昵换㤸㕤㡥っ昲㐹愷捣㠹㐴ㄵ㙤愸捤搸㤱散搷て㍢㔹ㅡ挵愱㈸愲㘵㕣户㌳晢㙤㠹攸挸敡摣ㅡ扡㌶㈷㜵散昵㥤㘹㌳戹ㅤ㔲㘴㑡搷攴㕥㌷攸㥡〴〴扢㜶愹户慥挴㔰㝤㤸搹㔵挸㡡晡搵捣愱㕣㘸昰㙥捥愲愷㐹昹㡥㌰㡢㐲㘳愸㑢〵ㅦㄱ㌲㡦〰㈹㐲慥敤昸戲㙤㐳搳ㅣㅣ㌱摦昱㌶昴摥捥晣ㅤ㈱扤㐵㙦㙥敢ㅤ晡㡢摥愰ㄵ㝤つ搸㑢昹㕤㐷ㅤ㜳ㅤ㥡昵敢㤹摤㠰慣㐵挷昰昴晤㐶㍤〵搲㉣戶ㄳ㤸摢㐹慦㡢戴㜲攷搷㤶㠵搴㐰㝤收扣攱㉤㡡〰ㅥ㡣㘳㔳戰㠵㕤捦ㄳ㔵ㅣ㙡㉢戲㠲攷㤷㡢㥢㉢晤挳㥥㙢戳㝥摢㐶昶摦ㄱ㡡㈱㤷㔳戳㤹ㄶㅢ㌹挵搶㑣昸㥣ㄲ㤴㐳ㅤ㝣㑢㘷㈱㤱ㄸ搴㑣㕥ㅣ㤷㝥扥摣㤶㈴㕤㐸㤲㜷〱慣晡㑤挸㈰㈵㤴摦㜴㤴㈸㝢搹敤摤戲㕢戳挵㑡て㕦捡改愴挵㠷搸㈶㐷㝡㐳㠷敤〴晣〷㝥扦㍤㘷搹㜵㘱搱㙢捦ち慦っ摦㠲㔵ㄵ挵搰㉤㑢㔱戳㉤㉢摥㈱戲㈲㥢㙤㍢㑦愷昸搷㈴㥤戴㐸㠹㔴㙥㑦㙤㑣㌹㡢㌷㠸㡡㙥㐸ち㤵ㄴ搷㔰㕤〲㤱昲搸㜷㕢挴㜴㈱㘲㙥〶攰昴㝤捣挶㤸敤㐷愶晤ㄲ㤲㘶戳㠰㘷㌸慣㘷㠵㉥敤㔲㈹㔳㈰ㅡ愴㡢昰搵㡥挲敡〰㕦㜳ㅢ戳摢㤱戵㤸㍦㜴㐰愶㄰愲㐴㜹㠲㄰㘵ㄸ挳㍣㙤㠹㜳愴㠱ㅤ㈶〲㑢㤳㌵㍦㜰㙤㐶㤶晡捤㈹昷㠴ㅢ㑣㔹晥㌲㈲㔱㐳㘶㔴戸㝦㐹㌸愰㉥て戶㑦㑢㥤扢扣㉣㉡扡㌹攷搶㈰摡㡥㑤㙤㠵㠳㌹挰〱㕢㔲㥥捤㔵〵愹扢昳㌱愶㔰〰㘹改㙦愵㌷㜶㔳摥㙦ㅥ晡〶ㅡ㄰㥤户㠲慡攸㌵㐳愶㘳戹㘰〲㡡㠸ㅣ㔴㝡捣昹㈵㑦㠸愹㝥昳㠸㘷㔵慡㤶㈳㠸っ搸㤸っ搶㑤㡢㐵㐴〹㘶㕤挶〰㕤愷摦㥣昷っ挷㕦㌶ㄸ㔰㕣摢搹昴㈴挳㈲㥡㌹㘱㌹㍥㕥㈳戱挸昲㠰㌹户攴㥥㐳挴戶㘶㍢㐷㡣㘵㝦㑢㘰㠵㐴ㅦ㈶㠹ㅡ㐵㔵㔴㔵㈹愸㠵㙥昱挳〳㜹㈶㐳摥换㌱㤳戸捡㘸昴㤹愷㘸㙦摡昵㔱㡣㠶㜶㍡搷搴㠷攸㔱扤㌲㥢㉡㠵挹愹晡㥤ㅣ㜳ㄷ戲㝢㡥㥣㍡搶㠸捣扤愹㤸戵㐶㉦㝦㡡㡣㤷㘴㔱て㠴搰㐷户㈳㈴ㄵ搶㤱㜲挰㠱挰㌸㥦㕡挹慦㘸捡㍥愴扥ㅤ㡤攲㘱㐴㤲晡捣㘹㘳㐱㔴ㄱ㡦戶㡤㘰㐷昸㐰㌳搶㌶慡㝥搴㌶改摡戶㐱搲㈲㔹捥㤵つ㔲昰㜸㉤㜰㡦㕢㡥㙥㈲㤳昴ㄷ㔵ㄹ慢愸㌲㔶㘵㔵㥦㜹㤲愱㐱㔹收㕣敥愲攱㔹挱㤲㙤㤵ぢ㝣㘰昸㙥㑢搰㈴㤸㥣㤲㌷㑥戱捣ㄸ㙥戱收㑦挱㘴昳㐷㠱敥㔱挸㔱㠲㡥攸〷攵慡㑡ㅥ晦㤴㉥ㅤ㑢㄰㌰搲㔳慡扦ㄷ戳㘹昲㜶〴㐴㡥㑣攷攳㍢ㄸ攷㍦㡡㥡㔰〸ㄱ敢㈹㈴〲慦㘰㐲挸搳挵㥤㌷㑦㌹㔶〰散ㄱ㘳㠷慤㘰捡〷捡㤱愱㈸㡦户㝢㈴㔶ㄳ㠳㐶敡㕡攱捡昶愶㈶㌵㜱㐵㝢㝢㔲㙦㕣扢㑥㜳愸㔱ㄲ㡡㘴愳㑥㔲戳慣戳挶慤愴㙡ㄴ愹戸㘳㙤愳愴戹㑤ㅢ㜰愷ㄴ㜹ㄳ㡡㐹搲㑣㐶㝦㥦㈴ㄴ〴㝡㈳ㅤ㐵㥦㝤㍡㜹㈴㈲㌶戴〱㡡搴㔳㘱㕤㝦ㄴㄲ㍣㠶㙢㈷ㄵ㔱㡣㥥挰摦㍢愲攲㑣㉤㘸㙡㌱㔶㠷愲㤶昱㙡㜵挶㠱㤵㔰㌶扣捡ㄶ㘱㘹散㉤搴㌰㤲㍢扢搵晥㈱㜸ㄳ㡣ㄸ戱㈱挳㈲㈹㝥㘰戰㈱㤸㉢ㄱ㔱愵㜵搶㑦㔰搷慢ぢ㝣㍡㉥っ㐷㘲㘰㉥愸㑣㠹ㄵ㘹㠶㌵㉣昹㈱㌹愰㝥㕡㤴㜲㔴㌷挷ㄷ㝣愸昴㠰㜲㍣㉡㐹〶搷捤㤳㜴㑢攱ㄲ〳挴㙥㔴㥡㉤〷〸敤搶㈷攰挹㘰敢㘰〷㄰〹㐳㈷戴捥㈸㐱昳㈹㠴摢扣〹昲㑥㤷ㄸ㠵㈰㌵㘵晡摢㈱攵慢㕦㘱晡收愱㑣㕣㠸㤸㠸攱慥ㄴ敢〱挸㑤㐶㈶挹㐵㐳㜱挰㍣㤴㙣㔲㘸昵挵㜵㌴㌱晡㘹昲㜹〱㙥昱㌰㤶㌵㐰戶愹攲㥥㕢㘰㐱㥢㔶搷㜶㤸挷㥣㜲戵㔶ㄱ㔲ㄵ挷戲㕡㙡攴㉤㠱㉦㜹〵㌰攴愶ㄴ戸㐴㐰㌹㠶愳ㄴ户㑣㈴㜵㙦㜷敢㠷㌰㕣ち㌹捣ㄱ慡㍥〶㈰㔳摣㜲㌲㈰搶㜶㑦㠱昶攱捥挶〵〶㜹㜹づ㈲慤慤㡡戲㙣ㅡ昷昱敡㔱㘴挹㙤㠹㙥搳敥戴㑢㥢㍤㔱㜵搴ち慢戶〴㡥戰捦㔰攰攵昳㌰㐶扡攴づ㑥㤲㌹ㅦ㐵㜷捦㝦㔴㍥㘶捥〳ㄵㄲ〳ち㘳扣㍣〵㘵〰㔵㌰ㄲつ㙥戵㘱㜵㉢㡣晥搲昲搶挷㤱㈹っ〳搳愰㐵捦搰挰㤹㐴㜹㘳〳攷㑡昴㑡㠹㤰㈶㠳愹㡣㔱づ挱㘱て愴㠱㥢㜸㤰㥥㜷愱㠴㠲㕤昲㘲㔸㝣㌷㜱挴挶ㄱ挸昵㉥㙡愹㥣㌵〲㕣㝦㜱㜶户㔴㡦㔷㉡㌴㜷攱㥦摢ㄲ㔸挵搵㡤搰ㅣ摤搵㜲㈹㑢敥㠹昶摤㌵㉤つ搱㘵挱晤㔳愳㐷㡤愰扣㌴ㄷ慣㠵ㄷ户扡㈵〹敤挷昰㐷慣晢㜶摡捣㌹㠷ㄷ㔱㔷〸晢攲㔹挷㍤攷挸㜵㘹㍥㙦晤㠱㐲㜰㠵戲㠷㡢㉣㘶㕥挷㍦㤹搴㡣昶㈳捣戸㤹㘵㜳㠲㠶㠳㠴昳挸ㄴ㑡㠳㘱㤴㔳攸〴戶㝢晤搶〰改㘴㔷ぢ㥤㐸㐱戰㑤㈸捥攲㕢㐶㈸捡て㠱㔶ㄲ㑢㜸㈴〷捣㕦〲敢㉢㍦㐰つㄱ㡥攷㐸㡣㘸㔷愱㤴㠲㍡㈹挸愳㉢ㅥ扣㄰昲晦㠳愵㤸㥢搷㘵愷晦〲㌳㉢慦戴愲攸ち愲攸晢㙤㈸㔲㜸つ㐴昲敦㍤㔱㠱てㅡ挳戳㙦㈸㄰捥㍤㙤ㅦ㐰摦昶ぢ扦晦挳〳攸㌴㌰捣㈴㙤㌴㠴摡慥㐳戹㙥㈲㘴摢㑣〴〶敦愵㠹㜰㥣㘳ㄸ挵て㑤㠴挸〷㌲㠳㡡㡤㑤〴挶昶㔲っ挱㐴愸㌵攱搶攰〹散㈲㥢晥戱愳戸㜸㉢㝣挴昳愱戴晣㐹㜸愴㉥㙥慦㥥㌵㍣挳摥㉤敢㡦㜸〲捡捣㥢挷㑤㙥㌹㠴㈳昶慣摢㈲〷慤攳慢㠸扤散摢晥㤴捤摤㕦〷愶挲ㄴ扡敦㤵㠲㤲㝦ㄳ㥥ㄲ㠵攷㠶捣㐷㜶㝤敢挸敦ㅦ㝥晣㄰㙦慢㐵戴慡摤㠴㜲㌷㈱㝢摡ㄳ〸敡㈶㉥㡡㕣挸て㜳㡥攳ㄳ㈵㙢戹㉡㈶っ㑦㕡㐱扥㙥挷挵㤰昰ㄲ㠴ㄹㄲ摦㔶㌰㌱㜱敦㈱㌴㌱㐷㕢摣㥤昲挳㈶改㈲ㅣ㑤㉣㕣晡昴攲戰愱搲㔱㤱㜵㘹㙤㙡摦㠱㉡㝡㠳ぢ㘹戶ㄲ㜹敡㘴㔲㤴㙦户敡扡〳搴㜵攱㐱㠶㘱晦㔸㑡㈱晥㐰ち㐹ㅥ㘴㜸㈱㐰㑡愹㤳㈸㘸㌷㈳㑢㠹慣戵㠶㜸改て搸ㄶ〲愲㝥改慦换㡦㔸〰㐵㘰㌱昶挵㜷㝢愲愵㉤ㅡ慢㈶㠶㙡愵㑤㌳㠷㠲㍣扣戰㘲㉣慥㥤㐷㈱㑥摡㝥㤴㌶敤㡥攲㑢晡敤㌰昰ㄶ㌲戶㘶搳搷㔶戴敦㜶㙡戸昹〱㍤㤳㤷ち挳搹挹㙡ㅣ㐸㘵㡣㉥散㕡っ慢㤸て㠴挵晡愰摥愸〹㍡换搹㡤㔳㈹㠲㝦晣㔲㠸敤㈳㡤愹㉦㙣㙤愱㡥㜳㝡戰㐱晥㘰㝦㕤㤱挲搸㜸㉢㌹〶ㄲ㜶㔳扤ち攱昵昰㔳ㄸ挲㑤㘷ㄴ扤㔱㤴捦捡〱晣㠹㌹㉢慢戶改㝦㐶慦㈵㘷㥤收㘸㠶戱㥢昴晦〷㔰戱愱晥㔷ㄸ㝢㤳㠸晣㘰㔴㤰挶㈹攳㈷ㅢ㠶㙣〸ㄱ㜸戶ㄱ扣㤱〷㘳㕤ㄶㄹ昲づ㑢㜳昸㜸㌵㙣㤶ㄲㅣ㝥慦㕣敢搵㠸晡㔸摡戶扤ㅤ〵㈰㘳㐳摡㑢㄰㐱ㅤ挷㌷换慤昸㜴㥢晦㄰〶敥㍡㙥㤵㍤搷㜷捤㘰㜸づ㐱摦㘱㝥㝢㘶挲收ㄹ㔷扥搱㉡搴慥〱㈴晡ㅥ挰㤸ㄳ㌳㄰搸㈷㐴昰㔶挵㈲ㄹ㔹搸㕣㈴㠳摦㈱つ㈶挲㑢搴づ晥〵收㝤㌵愳㡡㑦㔷㘷攰敢っ㔸戵㈵㤴㕤攸㜱㙥扤愱㐱搰攱㡥搶扤昰〷㠹敡㈸㠲㘳㜲ぢㅦ㝡㠰㜰㙤㠵㐱㜳摦㘸㙦㍥㝢㜶攷㜳㉢㙡㉦〲愷㥢㝢㑢㌳挹昰㥤晣㈲戹愸㤷㤸攳搲晥㈱晣摤扣㠳㤶戳つ㠱捥愳て扡改〸ㅢ愹挲㝤戶㠹攸昷ㄹっ㔵挶㤹攱愷ㅢ㔱㠱てち扤㝣㘴㐵攵敢搸ㄶㄹ〰攵㑣扥㡣慣㌳㔵㍦扢ㅥ㔵て摥㠳㌱攴㔷㕤㈰敢捦㉡㍣㙡㤰㉡㡢捡㔷搱㥦㔰ぢ㜷扦挸㍡ㅣ㍤攴㤱〲㘵㍤㈹挹ㄵㅥ㈹攴㝡扥㠴〱昵昵㍣㠸摡捥敢昹挲㝡敢㔱㘸っ挸晤㈶攷ㅦ㡣㤵㠹㙥昳搵づ㌳㤷搹㌲戲挱戸攷〰挵㈴昷㤲て㐳つ㍦㈰愶㤰㝥ㄵ晤㝤敤搰㉦㕦㘵晡敢㈱㐵ち㐶㌴㌵敦㠲㠲㔱敥攲改攴㉥㝣搴㜶摥挵愷搷摢挵㈰㘵愶㠴㙡つ〵㐰戵㠴㍦㜲㔷㉢㈸㄰愰晣㈹㘷㤸攱搷戴㡡㐱〳㌵㜲散㉡ち晤㔹㡤㠸㜹㑦㘷敤㐲攳㌱晥ㄴㄶ挱㠱愶㙦㕥敦挶㌷慣㙢㡣㜶㘷昱〹扦㈶㔵㘱㑥扤慢扢戹㘲㜳㤴㥡㑣㝢ㄲ扢㝥ㄳ昳㜰搳つ㥦㈳㘷摣㠳㕦〱㤶㈳挹㑣㠲攴㘱ㄴ㘲㐰㘹挴㝡捡㤷㑤搲㌸攴㉤㔰㍡戲昲愱㈷㍡ㅦ㥡〴〵㍢㜲㐱㙦〹挱㠸㉤昱㔳攱㡥晡㉣摦攵昵〶攵㠹㤸ち㡦ㅥ㡤㍦ㅢ㔳愳㠰ㅢ戸㈰㌴挷挹㌵〴愴昲㜸摣昹扢㉦㌷晣挵㘸㐰〲慢㠴㥤挹㕤戲昳挷攳捥晢昱㐹㥡散㤳㈱㐱㌱扤ㄶ㜷㈶ㄷ捡捥㡦挵㥤晦戲㝦㜷扤㜳捣㜴攱捣ㅡ㌹㈲挵搰㤷㐷㥦挴攷改〳攸慥㤹㌴ㅥ㝡捤戰㥡㠴㈸攳收㔵㘹㍥昴攱㈶㡣㠷て挴愷㜱戱ぢ昷㕦愰㘱挲晦㑦挴㌱㕣昸㥡㌲〲〳摦㝦慦㈰搲敥改昲㠹㠳昳收㡣㠷㡡ㅥ昳㤸㡦〳㘵㘵㑢㤱〸㙣愱㕣〸摦つ㈲ㄲ㈹㜶㜳〳ㅥ㜱㠴㔰攵〵㥡敥㌴愷㡣㉡攵㤴㐷㘳捣㘶ㅥ㙤搰㡣晥㌱㈰〷㍡〱㌹ぢ晡㘳挸挳㈸搴㉥㔶っ㔲搸㐹㐹昶㌸ㅢ㥥㘰昶〹㘴㐵㠵㤲㡤㜴㤰㝦ㄲ搹㐰晣㝦改ㄸ㕥㤱捥㈲㔵㔹㡤㕦㤶㈴㈳晤㤳ㅣ昰㈹㘴㔹昸慥㤵㠸〸㡢晡㔳愸㐹扥㤴㠲㐳扥昴㌳㙣㜸㥡搹㘷㤱ㄵ㌵㉥㜶搳㔰攳㥥扡㔴摢㥦挳㔰㠵愰攰ㅣ晡攷愳〲ㅦㄴ挲㠱攲㕣㜱戰㐳捡㔰㙡㥢㠲㥡㔷〸ㅢ搹㘰㐷つ〷㘵㠳愲㄰㕥戲愱ㅡ㌵㔰㤷改㕦㐰愶㄰ㅥ摣㤳晥㐵㍥ㄱっ昲㠵㕦㡡ち昲㠵㠴㠱ㅣ扥搴昲㐲挲㐵㌶㉣戶扣㤰戰㤲つ㘶昲㠵㕦攳愴㜲㘳㈸㌴慢㉢㙥㔰挲晢㌹ㄴ晡戳〳㕣摢晤昸愹慢㑡昹㑣攵捣㤹㝦つ攴㠶昷攴㍥昰晥扥慦扣昶㡢㍦㍣昳敢てㅦ晣昳扦㥦㝤昶搷㝦㝣收搵㝦晦㜸攱攰捦㕥㝣昱愷昷㍣晦敡ㅦ㜶㥡㉦愸㉦晦㙢晡㠵㐷挶捥㍥昲㤰㜹敡愶㈳㡦㝣昰挱晢挶㘶㉦ㄸ挹㘶㝢㝡㙥ㄸ晡昹㈵㌷づ㍥晡搰㉢捡㑦㝥㝢戱愳挸敤攲〵捤换攰戶攵㌲㥥㐷〱换攰㡡摦搶㘵㜰扢ㄲ㔰㘷㈲㐰㑤愰㠲㉡㡣ぢ㤰つ愵收㠶摥晦〰捦〸扤㕡</t>
  </si>
  <si>
    <t>㜸〱敤㕣㕢㙣ㅣ㔷ㄹ摥㤹摤㔹敦慣敤搸㡤搳㑢㐲㘹㑤㑢㈹慤㠳ㅢ愷つ愵㐰〸扥挴㠹㕢㈷㜶㘳㈷㉤㉡搵㘶扣㝢挶㥥㘶㘷挶㥤㤹㜵散㔲㠹〲〵〴㤴㕢㈵㐰㐰愱㔵㠵㉡挱〳㤷ㄷ敥ㄲ㐲㐲㉡㐲慤挴〳㐸㈰昱㔰㉡〴て㈰ㄴ㠹㤷㍥㠰攰晢捥捣散捥敥㝡挷敥戶〵ㄷ昹愴㝢㝣收摣收㥣晦㝥晥晦㑣㌳㑡㈶㤳昹㌷ㄲ晦㌲攵㔸戸㝡㘱挳て㠴㍤㍡改㔶慢愲ㅣ㔸慥攳㡦㡥㝢㥥戱㌱㙢昹㐱ㄶㅤ昲㈵ぢ敤扥㔶昲慤㠷㐴愱戴㈶㍣ㅦ㥤戴㑣愶㔰搰㔵戴㜳ㄲ晥〶攳〷㥤愳晡㜲挸ㄶ㈷㈷收㤶ㅥ挰慣ぢ㠱敢㠹㠳挳攷挲戱㐷挷挶㐶挷㐶㙦扢㝤散敤愳㠷づづ㑦搶慡㐱捤ㄳ㐷ㅤ㔱ぢ㍣愳㝡㜰㜸扥戶㔴戵捡㜷㠹㡤㐵昷㠲㜰㡥㡡愵㐳户㉥ㄹ户扤㘳散戶㈳㐷捣㍢敥㜸㐷ㅦ㕥㥤㌹㍤㌹㌱敦〹搳㝦㤵收搴戸攴摢愶㐴搹攲摥㠴昰㉣㘷㜹㜴㜲〲晦㈵搶㡦愷摢㐷ㄷ㔶㠴〸昸㙡攱〹愷㉣㝣ㅤ〳㝢敤㜱摦慦搹慢〴㥥㙥㑦㘳慢㘵挳て㌴㝢㔲㔴慢扡ㅤ捦㕡戰攷〰扢慡戱搱㘷㉦〸挷户〲㙢捤ち㌶昲昶㈲㈶慡昴摢㘷㝤㜱挶㜰㤶挵㘹挳ㄶ㥡㝤愲㘶㔵㜲㘱捡㘴㙦㡣愷㐸㉥㑣㙥㝦㜴摣户㈷㔷っ㑦慥挸㈷㘰㔲晡㑥㝢攵收扥搷㜷㥥㤷㑢㤷㙦攰㥣㌷㜴敥㠷㤶㜳㠶㔷敦㌹搲戹㘷戴昹收ㄵ摣搲戹㝦〲㐶捤㘳㙥敡㍣㐶㠲戲戹户搲ㅢ搱户㠴㈸㌶愳攷㤹昵㌰㉢㌰㈳〲昵㈲戳㕥㘶㝤挸㤴摣㍦挰㈵挹㠱㙣㔲㑢㠶㕡㕡㔲㑢㘵戵㔴㔱㑢㐲㉤㤹㙡㘹㔹㉤慤愸㈵㑢㉤㍤愰㤶㉥愰㑦㥣ち㍤㍤㙡㤴收㡣㙦ㄵ㡦捦ㄴ愶㝦昶散㘳扦晢搷搷㉦㍥搶户〷㥤敥㡥ㄶ㌵攵ㄹㄷ㐱㙡つ㉡㍥㍣㝡㠸晦戶收ち㌰㠵㜹挴扣摤ㅣㅢ慢ㅣ㌹㘴摣㙡㘸摣㔶ち昲㥢〸㘵㄰㝤晢捣㝢㉣愷攲㕥㤴戸扢㝡挲昰㐵〳㜰㈳㔱摢㠴㕢㜳㉡晥ㅢ㌶㙦㕣〸㡣㐰ㅣ㘸㙤㙢㑣搲㌶㙣〱㙣㈵㝣昹扥㙢㕡㠷㥤㌳慡㌵㌱扥㙥㠵捤㙦㙣㘹戶攷㍤㜷愹㜳敢戴㈷ㅥ慣户戶慤㘸ㅣ㐲㙤㑤捥摤戶换戰㈹㕣搷昰攴㡡敢ぢ㐷㉥㙦挴㥥户捡ㄷ㠴户㈰㈸ㄲ㐵㐵㙥昵㜲㌶㐵㕣㍦㌲攷㘰愳攰搶捡㜵挹㕡昳昸㝡〰㘶ㄶㄵ慣㜷㔵㜸挱挶愲戱㔴ㄵ㔷㌴㜵〹摦㠹㠶晤㑤搵搳㙥戹收㑦扡㑥攰戹搵收㤶昱捡㥡〱㐹㔳㌹攵㔶㐴㉥㤷㤱㐲〱〲㌷㥢㔵㤴捣捤㥤㜹㐱㈲㈲㠱㘲㌲昲㔵捤㘴㌷㝡〶扢挳㉥慡㠲㌴愹扥㜹㡢挹戸㕥㈹㘳㔲㌸㌰戱㈷敡て扥昴慤㕢㑣㕢挷摣㙢摢㔹㔵㠷愲摤ㅦ㕦ㄳ㑥㜰搲㜰㉡㔵攱愵㙡㍦㠵㉢搲〷㤰㘹㤷㈰㄰㍡㐲㡦慡㑥㔹㔷㌶戴㡢㔶㈵㔸挹慦〸㙢㜹㈵㐰ㅤ㌴㘴愱㐰搰戶㈵晤㌲㔴改㝢㤹つ㈱㉢ㄶ㌳昹㝤散㤴㉦㈲㘵㌴㑡愷ㄴ㕥㙥ㄲ攴ㅣ搷挴换㝤收戴㔵つ㐴㈸㤴〷㑣㘰㈴搴㙡ㄲ㝤晤㈴㔱捦㈸㠷ち㘳㥦㌹〹㉡㌵㉣㈷搸㘸昰㙤ㅢ㤷㠴㐴戴㉢ぢ㜶㥣㉣愰㈸㘸㤶〷㈹扣〶愲㘹㤱〶改㥤ㄳ㐴㐴㌶㐸搱散㤸戹㤹挸搸㍦㐵㐶愰㝦㤲〸搹晢㔰㘷ㄹ㐱㘲㙦㈷㔲づ敡挸㡦扢搲㙣㌳㕢㍥㤴㘶㤷〳㜰晡ㄵ捣慥㘴㜶ㄵ戳晤挸㤴㍦㐳挲㔱捡愱摣㥣昴㌷攰㔹扦㥡搹ㅢ㤱㐱㍥改㤴㌹㤱愸愲つ戵ㅤ㍢㤲晤晡㘱㈷㑢愳㌸ㄴ㐵戴㡣敢㜶㘶扦㉤ㄱㅤ㔹㥤㍢㐳搷收愴㡥㝤㑢㘷摡㑣㙥㠷ㄴ㤹搲㌵戹搷㉤扡㈶〱挱慥㕤敡慤㙢㌱㔴ㅦ㘶昶㈶㘴㐵晤㍡收㔰㉥㌴㜸户㘷搱搳愴㝣㕤㤸㐵愱㌱搴愵㠲㡦〸㤹㐷㠰ㄴ㈱搷㜶㝣搹戵愱㘹づ㡥㤸慦㝢ㅢ晡㘰㘷晥㡥㤰摥愲㌷㜷昵づ晤㐵㉦搳㡡扥ㅥ散愵晣愱愳㡥戹〱捤晡㕢㤸摤㠸慣㐵挷昰昴晤㜲㍤〵搲㉣戶ㄳ㤸摢㑢慦㡢戴㜲ㄷ㌷㔶㠵搴㐰㝤收愲攱㉤㡢〰ㅥ㡣㤹㈹搸挲慥攷㠹㉡づ戵ㄵ㔹挱昳换㤵捤㤵晥戴攷摡慣摦戵㤱晤搷㠵㘲挸攵搴㙣愶挵㐶㑥戱㌵ㄳ㍥愷〴攵㔰〷摦摡㔹㐸㈴〶㌵㤳ㄷ挷愵㥦㉦㜷㈵㐹ㄷ㤲攴㈶㠰㔵扦ㄹㄹ愴㠴昲摢㡥ㄲ攵㈰扢扤㑤㜶㙢戶㔸改攱㑢㌹㥤戴昸㄰摢攴㐸㙦攸戰㥤㠰晦挰敦户ㄷ㉣扢㉥㉣㝡敤㜹攱㤵攱㕢戰慡愲ㄸ扡㘵㈹㙡㜶㘵挵敢㐴㔶㘴戳㙤攷改ㄴ晦㥡愴㤳ㄶ㈹㤱捡敤愹㡤㈹㘷昱〶㔱搱つ㐹愱㤲攲ㅡ慡㑢㈰㔲ㅥ晢敥㡡㤸㉥㐴捣㉤〰㥣㝥㠸搹ㄸ戳挳挸戴攷㈱㘹戶ぢ㜸㠶挳㝡搶攸搲㉥㤵㌲〵愲㐱扡〸㥦敢㈸慣㡥昰㌵㙦㘷㜶㍢戲ㄶ昳㠷づ挸ㄴ㐲㤴㈸㑦㄰愲っ㘳㤸攷㉣㜱㤱㌴戰挷㐴㘰㘹戲收〷慥捤挸㔲扦㌹攵㥥㜶㠳㈹换㕦㐵㈴㙡挸㡣ち昷慣〸〷搴攵挱昶㘹愹㜳㔷㔷㐵㐵㌷ㄷ摣ㅡ㐴摢捣搴㑥㌸㤸〳ㅣ戰㈵攵搹㕣㔵㤰扡㍢ㅦ㘳ち〵㤰㤶晥㔶㝡㘳户攵晤收愱㙦愰〱搱㐵㉢愸㡡㕥㌳㘴㍡㤶ぢ㈶愰㠸挸㐱愵挷㕣㕣昱㠴㤸敡㌷㑦㜸㔶愵㙡㌹㠲挸㠰㡤挹㘰摤慣㔸㐶㤴㘰摥㘵っ搰㜵晡捤㐵捦㜰晣㔵㠳〱挵㡤扤㑤㑦㌲㉣愲㤹ㄳ㤶攳攳㌵ㄲ㡢㉣て㤸ぢ㉢敥㐵㐴㙣㙢戶㜳挲㔸昵㜷〴㔶㐸昴㘱㤲愸㔱㔴㐵㔵㤵㠲㕡攸ㄶ㍦㍣㤰㘷㌲攴扤ㅣ㌳㠹慢㡣㐶㥦㜹㡡昶愶㕤ㅦ挵㘸㘸愷㜳㑤㝤㠸ㅥ搵㉢戳愹㔲㤸㥣慡摦挱㌱敦㐴㜶攷㠹戳㌳㡤挸摣㉢㡡㔹㙢昴昲愷挸㜸㐹ㄶ昵㐰〸㝤㜴㝢㐲㔲㘱ㅤ㈹〷ㅣ〸㡣昳愹㤵晣㡡愶散㐳敡摢搳㈸㑥㈳㤲搴㘷捥ㅡ㑢愲㡡㜸戴㙤〴㝢挲〷㥡戱戶㔱昵愳戶㐹搷戶つ㤲ㄶ挹㜲愱㙣㤰㠲挷㙢㠱㝢捡㜲㜴ㄳ㤹愴扦愸捡㔸㐷㤵戱㉥慢晡捣㌳っつ捡㌲攷㜲㤷つ捦ち㔶㙣慢㕣攰〳挳㜷㍢㠲㈶挱攴㤴扣㜱㡡㘵挶㜰㡢㌵㝦ㄶ㈶㥢㍦ち㜴㡦㐲㡥ㄲ㜴㐴㍦㈸㔷㔵昲昸愷㜴改㔸㠲㠰㤱㥥㔲晤摤㤸㑤㤳户㈳㈰㜲㘴扡ㄴ摦挱戸昴㐱搴㠴㐲㠸㔸㑦㈱ㄱ㜸〵ㄳ㐲㥥㉥敥扣㜹搶戱〲㘰㡦ㄸ㥢戶㠲㈹ㅦ㈸㐷㠶愲㍣摥ㅥ㤰㔸㑤っㅡ愹㙢㠵㙢摢㥢㥡搴挴㌵敤敤㐹扤昱收㑤㥡㐳㡤㤲㔰㈴㕢㜵㤲㥡㘵㤳㌵敥㈴㔵愳㐸挵ㅤ㙢ㅢ㈵捤㙤摡㠰㍢愵挸㉢㔰㑣㤲㘶㌲晡㝢㈴愱㈰搰ㅢ改㈸晡散搳挹㈳ㄱ戱愱つ㔰愴㥥ち敢晡愳㤰攰っ慥㥤㔴㐴㌱㝡〲㝦敦㠹㡡㜳戵愰愹挵㔸ㅦ㡡㕡挶慢搵㌹〷㔶㐲搹昰㉡㍢㠴愵戱户㔰挳㐸敥散㔶晢㠷攰㑤㌰㘲挴㠶っ㡢愴昸㠱挱㠶㘰慥㐴㐴㤵搶㔹㍦㐱㕤慦㉥昰改㤴㌰ㅣ㠹㠱㠵愰㌲㈵搶愴ㄹ搶戰攴㠷攴㠰晡㘹㔱捡㔱摤ㅣ㕦昲愱搲〳捡昱愸㈴ㄹ㕣㌷捦搰㉤㠵㑢っ㄰扢㔱㘹扥ㅣ㈰戴㕢㥦㠰㈷㠳㥤㠳ㅤ㐰㈴っ㥤搰㍡愳〴捤愷㄰㙥昳㈶挸㍢㕤㘲ㄴ㠲搴㤴改敦挷㤴慦㝣㤹改㥢挷㌲㜱㈱㘲㈲㠶扢㔲慣〷㈰㌷ㄹ㤹㈴ㄷつ挵〱昳㔰戲㐹愱搵ㄷ搷搱挴攸愷挹攷〵戸挵挳㔸搶〰搹愶㡡㝢㙥㠱〵㙤㕡摤搸㘳捥㌸攵㙡慤㈲愴㉡㡥㘵戵搴挸㍢〲㕦昲ち㘰挸㑤㈹㜰㠹㠰㌲㠳愳ㄴ户㑣㈴㜵㙦㜷敢挷㌰㕣ち㌹捣ㄱ慡㍥〶㈰㔳摣㜲㌲㈰搶㜶㑦㠱昶攱摥挶〵〶㜹㜹づ㈲慤慤㡡戲㙣ㄶ昷昱敡㔱㘴挹㙤㠹㙥戳敥慣㑢㥢㍤㔱㜵搲ち慢㜶〴㡥戰捦㔰攰攵昳㌰㐶扡攴づ㑥㤲戹ㄴ㐵㜷㉦㝤㔰㍥㘶㉥〱ㄵㄲ〳ち㘳扣㍣〵㘵〰㔵㌰ㄲつ㙥戵㘱㜵㉢㡣晥搲昲搶挷㤱㈹っ〳搳愰㐵捦搰挰㤹㐴㜹㙢〳攷㕡昴㑡㠹㤰㈶㠳愹㡣㔱づ挱㘱て愴㠱㥢㜸㤰㕥㜴愱㠴㠲㝤昲㘲㔸㝣㌷㜱挴挶ㄱ挸昵慥㘸愹㥣㌷〲㕣㝦㜱昶户㔴㡦㔷㉡㌴㜷攱㥦摢ㄱ㔸挵搵㡤搰ㅣ摤搷㜲㈹㑢敥㠹昶摤昵㉤つ搱㘵挱挳㔳愳㈷㡤愰扣戲㄰㙣㠴ㄷ户扡㈵〹敤愷昰㐷㙣晡㜶摡捣㌹㠷ㄷ㔱搷〸晢攲〵挷扤攸挸㜵㘹㍥㙦晤㠱㐲㜰㠵戲㠷㡢㉣㘶晥㡤㝦㌲愹ㄹ敤㈷㤸㜱㍢换收〴つ〷〹攷㤱㈹㤴〶挳㈸愷搰〹㙣昷晡慤〱搲挹扥ㄶ㍡㤱㠲㘰㤷㔰㥣攵㔷㡤㔰㤴ㅦ〳慤㈴㤶昰㐸づ㤸㍦〳搶㔷㝥㠴ㅡ㈲ㅣ捦㤱ㄸ搱摥㠴㔲ち敡愴㈰㡦慥㜸昰㐲挸晦て㤶㘲㙥摥㤴㥤晥ぢ捣慣晣戰ㄵ㐵搷㄰㐵㍦㘸㐳㤱挲㙢㈰㤲㝦敦㡣ち㝣搰ㄸ㥥㝤㔹㠱㜰敥㘹昷〰晡㥡㕦昸晤ㅦㅥ㐰㘷㠱㘱㈶㘹愳㈱搴㜶〳捡㜵ㄳ㈱摢㘶㈲㌰㜸㉦㑤㠴㔳ㅣ挳㈸㝥㘸㈲㐴㍥㤰㌹㔴㙣㙤㈲㌰戶㤷㘲〸㈶㐲慤〹户〶㑦㘰㔷搸昴㡦㥤挴挵㕢攱㈳㥥て愵攵㑦挲㈳㜵㘵㝢昵扣攱ㄹ昶㝥㔹㝦挲ㄳ㔰㘶摥㈲㙥㜲换㈱ㅣ㜱㘰搳ㄶ㌹㘸ㄳ㕦㐵散㘵摦昵愷㙣敦晥㍡㌰ㄵ愶搰㝤慦ㄴ㤴晣㉢昰㤴㈸㍣㌷㘴㍥戰敦摢㈷晥昸搰愳挷㜸㕢㉤愲㔵敤㘶㤴扢〹搹搳㥥㐰㔰㌷㜱㔱攴㜲㝥㤸㜳ち㥦㈸㔹慢㔵㌱㘱㜸搲ち昲㜵㍢㉥㠶㠴㤷㈰捣㤰昸㜶㠲㠹㠹㝢て愱㠹㌹摡攲敥㤴ㅦ㌶㐹ㄷ攱㘸㘲攱搲愷ㄷ㠷つ㤵㡥㡡慣㑢㙢㔳晢㉥㔴搱换㕣㐸戳㤵挸㔳㈷㤳愲㝣愷㔵搷ㅤ愱慥ぢて㌲っ晢挷㔲ち昱〷㔲㐸昲㈰挳ぢ〱㔲㑡㥤㐱㐱扢〵㔹㑡㘴慤㌵挴㑢㝦挰慥㄰㄰昵㑢㝦㕤㝥挴〲㈸〲㡢戱㉦扥摢ㄳ㉤㙤搱㔸㌵㌱㔴㉢㙤㥡〵ㄴ攴攱㠵ㄵ㘳㜱敤㈲ち㜱搲づ愳戴㙤㜷ㄴ㕦搲㙦㠷㠱户㤰戱㌵㥢扥戶愲㝤摣愹攱收〷昴㑣㕥㉡っ㘷㉦慢㜱㈰㤵㌱扡戰㙢㌱慣㘲㍥㄰ㄶ敢㠳㝡愳㈶攸㉣㘷㍦㑥愵〸晥昱㑢㈱戶㡦㌴愶扥扣戵㠵㍡捥改挱〶昹㠳晤㜵㑤ち㘳攳慤攴ㄸ㐸搸㙤昵㉡㠴搷挳捦㘲〸㌷㥤㔱昴㐶㔱㍥㉢㐷昰㈷收慣慣摡愶晦ㄹ扤㤶㥣㜵㡥愳ㄹ挶㙥搲晦昷愲㘲㑢晤慦㌰昶㈶ㄱ昹扥愸㈰㡤㔳挶㑦戶っ搹㄰㈲昰㙣㈳㜸㈳て挶扡㉣㌲攴ㅤ㤶ㄶ昰昱㙡搸㉣㈵㌸晣㕥戹搶慢ㄱ昵戱戴㙤㝢㍢ち㐰挶㠶戴㘷㈰㠲㍡㡥㙦㤶㕢昱改㌶㝦ㅦ〶敥㍢㘵㤵㍤搷㜷捤㘰㜸〱㐱摦㘱㝥㝢㘶挲收ㄹ㔷扥搱㉡搴慥〷㈴晡敥挷㤸搳㜳㄰搸愷㐵昰㙡挵㈲ㄹ㔹搸㕥㈴㠳摦㈱つ㈶挲㑢搴づ晥㘵收摤㌵愳㡡㑦㔷攷攰敢っ㔸戵㈳㤴㕤攸㜱㙥扤愱㐱搰攱㡥搶㕤昰〷㠹敡㈸㠲㘳㜲ぢ昷摤㑦戸戶挲愰戹㙦戴㌷㥦㍤扢昳戹ㄵ戵愷㠱搳敤扤愵㤹㘴昸㑥㝥㤱㕣搴㑢捣㜱㘹晦ㄸ晥㙥摦㐱换搹㠶㐰攷搱〷摤㜴㠴㡤㔴攱㍥摢㐶昴晢㍣㠶㉡攳捣昰搳㡤愸挰〷㠵㕥㍥戲愲昲㜵㙣㡢っ㠰㜲㈶㕦㐶搶㤹慡㥦搸㡣慡〷敦挴ㄸ昲慢㉥㤰昵㘷ㄵㅥ㌵㐸㤵㐵攵㉢攸㑦愸㠵扢㕦㘶ㅤ㡥ㅥ昲㐸㠱戲㥥㤴攴ち㡦ㄴ㜲㍤㕦挲㠰晡㝡ㅥ㐰㙤攷昵㝣㘱戳昵㈸㌴〶攴㝥㤳昳て挶捡㐴户昹㙡㠷㤹换㙣ㄵ搹㘰摣㜳㠰㘲㤲㝢挹㠷愱㠶ㅦㄱ㔳㐸扦㡥晥扥㜰散昹攷㤸晥㜶㑣㤱㠲ㄱ㑤捤扢愰㘰㤴扢昸㑣㜲ㄷ㍥㙡㍢敦攲戱捤㜶㌱㐸㤹㈹愱㕡㐳〱㔰㉤攱㡦摣搵ㅡち〴㈸㝦捡㜹㘶昸㌵慤㘲搰㐰㡤ㅣ扢㡥㐲㝦㔶㈳㘲摥搵㔹扢搰㜸㡣㍦㠵㐵㜰愰改㥢搷攳昸㠶㜵㠳搱敥㉣㍥攱搷愴㉡捣愹敦散㙥慥搸ㅣ愵㈶搳㍥㡥㕤扦㠲㜹戸改㠶捦㤱㌳ㅥ挰慦〰换㤱㘴㈶㐱昲㄰ち㌱愰㌴㘲㍤攵换㈶㘹ㅣ昲ㄶ㈸ㅤ㔹昹搰ㄳ㥤て㑤㠲㠲ㅤ戹愰㜷㠴㘰挴㤶昸愹㜰㐷㝤㤶敦昲㝡㠳昲搱㤸ち㑦㥥㡣㍦ㅢ㔳愳㠰ㅢ戸㈰㌴挷挹㌵〴愴昲㘸摣昹㝢摦㙦昸㡢搱㠰〴㔶〹㍢㤳扢㘴攷㡦挴㥤て攳㤳㌴搹㈷㐳㠲㘲㝡㈱敥㑣㉥㤴㥤㍦ㅣ㜷晥敢攱晤昵捥㌱搳㠵㌳㙢攴㠸ㄴ㐳㕦ㅥ㝤ㄲ㥦愷て愰扢㘶搲㜸攸㌵挳㙡ㄲ愲㡣㥢㔷愵昹搰㠷㥢㌰ㅥ㍥㄰㥦挵挵㉥摣㝦㠱㠶〹晦㍦ㄱ㌳戸昰㌵㘵〴〶扥晦㕥㐳愴摤搳攵ㄳ〷攷捤㌹てㄵ㍤收㡣㡦〳㘵㘵㐷㤱〸㙣愱㕣〸摦㉤㈲ㄲ㈹㜶㜳〳ㅥ㜱㠴㔰攵〵㥡敥㌴愷㡣㉡攵㤴㐷㘲捣㘶ㅥ㘹搰㡣晥㈱㈰〷㍡〱㌹ぢ晡㠷㤱㠷㔱愸㝤慣ㄸ愴戰㤳㤲散㔱㌶㝣㤴搹挷㤰ㄵㄵ㑡㌶搲㐱晥攳挸〶攲晦㑢挷昰㥡㜴ㄶ愹捡㝡晣戲㈴ㄹ改㥦攰㠰㑦㈲换挲㜷慤㐴㐴㔸搴㍦㠵㥡攴㑢㈹㌸攴㑢㍦捤㠶捦㌰晢㉣戲愲挶挵㙥ㅢ㙡摣㔳㤷㙡晢㜳ㄸ慡㄰ㄴ㥣㐳晦㝣㔴攰㠳㐲㌸㔰㥣㉢づ㜶㐸ㄹ㑡㙤㔳㔰昳ち㘱㈳ㅢ散愸攱愸㙣㔰ㄴ挲㑢㌶㔴愳〶敡㌲晤ぢ挸ㄴ挲㠳㝢搲扦挸㈷㠲㐱扥昰㑢㔱㐱扥㤰㌰㤰挳㔷㕡㕥㐸戸挸㠶攵㤶ㄷㄲ㔶戲挱㑣扥昰慢㥣㔴㙥っ㠵㘶㜵挵つ㑡㜸㝦つ㠵晥散〰搷㜶て㝥敡扡㔲㍥㕦㌹㝦晥愵㠱摣昰㠱摣扤敦敤晢昲ぢ扦㝡昱昱摦扣晦攸㕦晥昹挴ㄳ扦昹搳攳捦晤昳愷㑢㐷㥦㝤晡改㕦摣昹攴㜳㉦敥㌵㥦㔲扦晦搲散㔳て㡦㕤㜸昸㐱昳散捤㈷ㅥ㝥摦〳㜷㡦捤㕦㌶㤲捤昶昴摣㌸昴换慢摥㍡昸挸㠳㍦㔴㝥晥晢㉢ㅤ㐵㙥ㄷ㉦㘸㕥〶户㉤㤷昱㈴ち㔸〶㔷晣㥡㉥㠳摢㤵㠰㍡ㅦ〱㙡〲ㄵ㔴㘱㕣㠰㙣㈸㌵㌷昴晥〷昴㘲扣㔵</t>
  </si>
  <si>
    <t>㜸〱敤㝤㜹㝣㕣挵㤵㙥㤷愴扥搲㙤换㔶ㅢㅢ㌰㑢㐰〶ㄳ㍢戶ㄱ㝤㝢㙦㠸㘲㙤㕥〴摥㘵㘳戳㐵摣敥扥搷㙡摣㡢摤摤昲〲〴〸㑢㈰挹换㌰㙣㘱㈷っ㐳㈰㌰㈱㈴ㄳ挸っ㈴㈱㌰㠱㐹㐲㠰㜹㉦㙣㡦慣挰挰㉦㜹㈴挳㘳つ扣㙣捣昷搵㕤㜴㝢㤱っづ昳㝢晥㘳㉥搶改慡㔳愷㑥㔵㥤㔳㔵户捥愹慡㡢㑦昸㝣扥昷昰昰㤷㑦ㅢ〳㠷㡥散慥㔴㡤㐲捦㘰㈹㥦㌷㌲搵㕣愹㔸改改㉦㤷昵摤㉢㜳㤵㙡㉢〸㤴搱ㅣ搲㉢晥搱㑡敥㑣愳㘳㜴㠷㔱慥㠰挸敦昳㜵㜴愸㉤㐸㔷敤扦愰ㅢ㘱㉥戵㡤〰㔴㍥㔵㈱㘸㈷攸㈰㤰昴〱㠶愶〱㜴㜶〲㙣ㄸㅣ㔸㤳㍥〳愵㡦㔴㑢㘵㘳㜱昷㠹㔶ㄹ扤㥡搶愳昵㐴ㄳ㕡扣㈷戴戸㝢㜰㍣㕦ㅤ㉦ㅢ扤㐵㘳扣㕡搶昳㡢扢搷㡥愷昳戹捣〹挶敥つ愵慤㐶戱搷㐸㠷㈲㘹㍤㥡搴愲戱㤸㤹㑡㈵㍢愷㠳昳敡挱㠱戵㘵挳慣㝣㔸㍣㘷㤰攷㥡挱㠱㥥搵㐶昵挳攲搹〵㥥㘰㌹㔴㉡攸戹攲㠷挴搴㑦ㅤ挴㠶㡣㑣㡥捡㌲㡣㜲慥戸愵〷搵慥ㄱ㌴㘲㠹㥥晥㑡㘵扣戰㡤㝡ㅦ㌴昲昹昵㠶㈹㤵㔴ㄸ慡㔴搷敡攵㐲愵戳㐰昹ㄹ㘵愳㤸㌱㉡㌳ち㑢㜷㘵㡣扣㑤㔸改㈸㥣愸㤷㔷敢〵愳㡤㠱慥㠲愵挳攱慣㔱慣收慡扢愷ㄷ㌶㔶㡣昵㝡㜱㡢㐱ㄲ㝦㘱昹㜸㉥㉢摡摡昰捦搷㍡扦㔹捤愴愲㔰㥦挲攰㤸㕥慥捡ㄸ㔵愸㌵愳昵㜴ㄷ搹㡡㥡㝡戱㑢㜵搷攵愲捥㐶㜲㠵ㄳ㡣㜲搱挸戳㄰㙡㜲㔱ㅤ㤱ㄴ㤰愵〷㔷㔲㑥㜳愸㈵㌱捤ㅥ㉣㙣ぢ㑢㔱㠲〰挷㐱㔰㐶戵戴㜸㘵㈹愳㔳㡥扤攸慦愹㘸㐴㡢㠴㔳昱㔰㌲愴㘹挹挸攲㤱㌱㝤㥢搱ㅢ敤㐱㌴ㄵ〹㐷愲愱㐴㌲ㄵ㡡㐵ㄲ敡㑣㌰㔰昷㈳慢㔹〰慤敢戴愸㍡㥢愸晤〱㐴摢㉢ㄸ慤摥㌲㌹㘲㕡㐶昵㤶搱㜴换㘸愶㘵㌴摢㌲㙡戴㡣㥡㉤愳㕢㕡㐶挷㕡㐶㜳㉤愳㘷戴㡣㙥〵㡤昳㜴戴户户搸捦昳㉦㥥㜴摣摣换㙦㕥㝥晥敤㤵扥晦戹昸捤ㄳ〴〷愸ㅣ摦〷㈲搰搰㠶㌰㠶㕥㌴ㄱぢ挷挳㠹㔴㉡ㄶ㑢愶㌴扢つㄸ㡢愹㐴㈲ㅥ㑤愶㘲搱㐴㌲ㄶ㑥㐶搵㌹㘰愰ㅥ〴愰ㅣっ搰戲㈲愶ㅥ㐲捣愱〰㐲晣㍢㥡挰㘶晣昳敡㉢㡥ㄱ扦㘹ㅢ扥昴㡤㌵㑢㙥㍤慦㜲愰攰摣㈰换㍦っ㠱捣㠰㔱搵ㄷ慦捡㐱㜸戱㥥㌰㤸㠶攲㈱ㄴ愰㘹戱㔸㝣昱㉡㝤㔷慦㤶敡㠹㐳愰㠹㌸㌰㠹㜰㈲ㅥ㡥㉦敥捦㙦ㅢ搳㝢戵㥥戰ㄶち㐷ㄲ昱㐸㈸ㄲ㠷㔴愳昱挵攴搵ㅢ敡㠹㠵攲攱㔰㉣〹㜲㘸〱㝦敡攱慣㔵㌷㠰㌲ㄷ愰㜵〵㘴㝤〴㔱㐷〲〸昱㜳扢愲㜳摥戹敢摡㌷敦ㅡ㕥㜵㕤㙡挹扢㝤㥢㑡晦㈶㌸㝦挹㡡ㅥ㠵挰挶㑤㐶㉥㍤㥥捦㑦㘸㍢摥㠳㉡挵ㄲ㈸㍣ㅥ㡦愴ㄲ㤱㔸㜲昱㐸㐶捦ㅢ扤戱㥥㔴㌲ㄵ㠹愰戶㔱㉤㥡㡡㈵㤸㈰扢㐱愴㈷ㅡ㡥㘸〹㜶㤰㘴㌴ㄹ㡥挶攲敡㐷㔹㡦昹〰捡〲㤶㜶㌲慡昶㌱愲ㄶ〲〸昱戴㕤戵搱挷㝦昲敥〵挱㡢㤶摥户搲晦搳ㄳ㕥戹㘴愷攰慣㉡慢戶ㄸ〱挳㤵㘱㌸挴㡥ㄶつ愷㈲昱愸ㄶ㠹愷㤲㤶っ㈳昱㥥㐸㈴ㄶ〹挵㈳挰㈶㈱㐴捤㤶㘱〸晤㌵づ敡㐸㉡慥㐵㘲㕡㈸㥡㐸㌸㐲〴〳㉤ㄶ㠹㐶挰㈹慣㈵㔲搱㠴㝡㌴敢搵〳愰ㅣ挳搲晢㠷㘳㙡㠸㈸つ㐰㠸㈷散慡㝥攵㤱ㄵ㘷㐶㉦ㄸㅤ戸戹昳愹㡤ぢぢ㔷㍦㉦㌸慤挸慡㐶㄰攸㠳愶㤷敥慡㤶㡤㠲戱㜸㘵㙥慢㤱捦ㄹ㤵㙡慦ㄶ愱捥㘲㄰㔹㐲㑢愶㔰戲㈳㐹慤〷㜵㡥㈵㔰扣ㄶ搷搰昳㤲〹㌵捡㈲㘳〰㑡ㅣ愰慤㝦ㄸㄲ㑢㄰㤷〴㄰攲〷㜶㌵㝥晣㥢愳㜲搹ㅦ摣搴晦㠵〵㠷慤摢㜰挵愳㤷晢昹昶㠹㌴ㅢ昶昵㌳捡㌲扣㠹㌲㝡愵㙡㑦㜶㤴昴㠷㍢ㄷ敥㜹㉡㕣㔶捥晣搷㑦㠵㈸攴㐳㤹ち搵㘳㈹晤攳〰㤴㡦〳戴慥ぢ㠷搵㕥愲㍥〱㈰挴㐳戶㐲㡥昹攱慡敡㙢搷ㅦ摦㝦昷攳昷晣晣㝦㥤晦昹慢〵㔷〲戲㕦昴㈱搰㠷愱摥搸㉦挲㔱っ戱㘸㌲ㄶ㠹挵攳挹〸㍡㐰搴ㅥ㘱攱㥥㤰ㄶ㡦㘸ㄸ攴㠹㜰ち㝤㌷ㅡ㔳晢挱㐵ㅤ〰㔰〶〱㕡㑥㡥愹㐳挴㉣〵㄰攲㝥扢ㄲ扥昰㡢㡦㝥昶晡㉦慦戸㜹㜸挷愶搹〳捡ㄳ㠲昳慡慣挴㜲〴㤶㡤㔴挷昹づ挳㜴㤴摤㔶捡ㄵ㘵挷搴㤲攱昸挴㌳搱㌱戵㔸㌸㠶㔱ㅣ㑦㘹㕡ㅣ㌳㘵㝣昱㤰戱愵㙣ㄸ㤵㕥㑤㕤挱㠲㠷〱㤴攳〱㕡搶挵搴ㄳ㠸㔹〹㈰挴㌷敤慡晣换搱㝦敥摦昹昷ぢ搶㕣㔷㜸慥晦㠰挳㝦晤㡦㥤慢㤱扣捥㝥捤っ㤵昵㥤㜸㜱㑦慣〹搰㘰晥户攷挵㄰搶㐲㘶捣㑣㤸㥡㤶㡤㠵昴㠸敥攷㝢收晤扥㜵昹㔲敢㌴㌷攵㡡搹搲㑥昹ㅡ㍥㜴㐰慦ㄸㄳ㕤㜱㤱㥤㌶㔰ㅡ㉦㘶㉢㠷㌴㑦ㅣ愹敡㔵攳攰晡戴〹㈶つ搹㐶戰㐸㌱㉡戲扣挳敡戳㥤愸攷挷㡤晥㕤㌹㉢昹㈳㜵挹㔸愲㤴搲㤳愷㉥㉢ㅢ摢摤搴㠶ㅡ昵㘳捤扢㐳昲㙥㘸愵㤵㘴搵慢㝢㜰慣㔴㌱㡡戲㝡㡢ち㙢㜳㤹慤㐶㜹挴攰㡡搹挸捡愶敥捦㈴㝢㥤戴㘸㑤ㄱつ挵捡㈷㝢㠴ㄷ㙢愲㙢ㅢ挵慣㤱㐵㝤户ㄹ攵敡敥つ㝡㍡㙦ㅣ㔰㐳㘲㤵㠹㠴㠳㙡搰换㑡㤹昱捡㘰愹㔸㉤㤷昲戵㈹晤搹ㅤ㍡搶㘶搹㔵愵慣㠱愵㔵ㅢㅦ㥦昰戵戶ち攱㕢搸㙣愲㈳摦㑡㡦㔴㠴㐷挵㕣㘹捤愹敤㜶㍤敢搱㍡戴㈲㙦戰㑦戶捣摢〳㌳挹㤷㙣㍥㌶㌹愱愷㑤㌴㉦㐸扤㘰㜲㙡㔹㐷㔷㜳晦戵挴㉤㉤戳散搶㉦摤㠱戱扦㐲㉦㘶昳㐶㜹㑡攳㐸戰㐶敡ㅡ〰晦搷㌱㥡㈷㤵ㅥㄷ㕡㘲㤷搸敤摦㤹换㔶挷㤴㌱㈳户㘵慣ちㅣっ愸㡥づ㡡戶攱㔱搷〱愵慥㈷ㄸ〱〸〴㝣捡〶ㄲ㈹〱㜵愳ㄵ昷㜳挹昸挱㔷挶搲㐴㤳㉢㜱㤸㑤ㄵ㝦〱㉦戹㑡㙢㙢戳㔶慥搰㉢㘳㔵㜶捦㈹ㄳ戹〶㔶㑦㈴搸〴攰攷捡㜵㡦ぢ㙦㉥愴摢㘸㕦㑣㉦っㄹ愶づ慢㑥㡥㙥愱晢ぢ㤶愱㌰㘴㔴㌲㉡㉤㡡㘱㡣㤵㕤ち㐲ㄸ晣㥤〵昶㝥㘳㔷㜵㐸慦敡敤〵㉥戹㡢㔵ㄵ㐴㡢㘴㉥㉢挴㥣搳㈵捥挹ㅤ戰㘳攰㄰㤴㐱て㤷㘹ㄲ㘱㜱挲挰挱㜸昱戵摡㜰敡㐶愰敥㝣㘵㉡昵ㅤ扤搶挶㠰改㤳㕤㙥ㄴ㌷散摥〶挳〹攴ㅤ捡㤴愲慣ㅦ㕥㘴戶㈶㤳摥㔸捤攵㉢㍤愸改昲㜲㘹㝣摢㠷挹㠷扣搴捤〰捥攳扦ㅤ扤昸晤户㠹捥㠳昶ㅤ搴捤攸愸慦㠳摣㠸㔱㘹挶愸散慤㘰昶ㅥ㝥攴愳㥥㡡㥦挰㔴㘹㝥ㅡ㍣ㅦ挴ㅥ愳昹搰㔹㠰㠴㌶攰㜵换㡥搳㈱㈳㤰昶昴挲愶㔲㜹㙢扡㔴摡㑡昴っㄹ慢㡣ㄹ㐶㤵㔶摢㌴摢㑡㤵搶愸㄰慤慤㌵收㤵挷扣㘳㌷㔵㑥〷㤸摥㥦捦㜷㍢ㅣ㉢㡡づ㔴㉢散㐷㈵㡤㐰㌷〶㔰㐱慦攲ㅤ㌰ち㍢摡㈸愴昳扢㐷㔷收㡡挶㈸㑣捤㥥㕤昹捡㉥㜱㈳愴㐰昳攷搲㘷㙦㔹㝣摦㜱㍦㔹晤敤㡦敦晡攱〶扤晤㈴㜱㠳㥤搰㘰㤷搱㥡㤲㔶愱㠱㠰戸づ㘴㥣㕤㄰慥㝤搴㉤㠸慢㘳〴㌹〰捣ㄱ㔲敡㤸㈲㘸〰㈲㉡㘸㤱㜱㥡㔰昳〴〵〰㐱扢㡣㠳㔴㉤〲㌸㡦戸っ晣愹㝢愹㍦㥡㜰㡤晡㉢〳ㅢ㔰愷㐸ㄳ戴昶愸㐳昵㜴〲㑡㐹愵㠴挴挵㘰摣㔴〰㥦戱ㄳㅡっ㐳㥡㘹㔲〰㘷㌱晦㠵㈰㙢㉥㠰㑦戱㡣㜳〸捥〵昰〸攰搳㔶㔴㜴攳㔷ち攰㝣〴搴ぢ〰挴ㄱ〰㔲〰ㄷ㈲攰㍣攲㉣㤴攱ち㘰㉥搰㡤〲戸〴搸㠰㍡㐵㥡㌸ㄲㄴ捤〴戰㝤㌲〱㙣戳ㄳㅡっ㑥ㅡ㠳㔲〰㤷㈱㈰㡡㤳ち攰ち㈴慢㔷ㄲ㕣〵攰ㄱ挰搵㔶㔴捣挷慦ㄴ挰㌵㈴扡ㄶ㐰搰慡㤴〲戸づ〱攷ㄱ㠶㔷〰ぢ㠰㙥ㄴ挰㑤挰〶搴㈹搲〴㙤搵㘶〲㌸㘵㌲〱㥣㙣㈷㌴㤸戵㐷㠳㤳ㄴ挰敤〸㠸捤㤳ち攰づ㈴慢㜷ㄲ晣〳㠰㐷〰㜷㔹㔱搱㠳㕦㈹㠰慦㤱攸㙥〰㐱㕢㔵ち攰敢〸㌸㡦㔸攳ㄵ挰㌱㐰㌷ち攰ㅥ㘰〳敡ㄴ㘹㐲〳㐵㌳〱㉣㥤㑣〰㐳㜶㐲㠳戱ㅣ〵㈷㈹㠰敦㈲㈰〶㈶ㄵ挰昷㤰慣㍥㐸昰㄰㠰㐷〰摦户愲㈲㠶㕦㈹㠰㠷㐹昴〸㠰愰㤵㉣〵昰慦〸㌸㡦㐸㜹〵㐰㤳扡㔱〰㡦〲ㅢ㔰愷㐸ㄳ戴扤㥢〹攰㤸挹〴搰㘳㈷㌴㤸改㌴㈶愷㌰㔷㙡㉣㘳㌶愶挶㕣改㌴㤷攵昲㔵愳㉣㔷愴㕤㈶㝥㉣㌷愸戵㐲攵㉡扣慣㘷㉣〷攳㙣㜳㄰ぢ㜱昸㕤慢扢㈷㑣㤳〶㐳挰㕡㈷晦户戹戳捦㤹㍢搲搸愹㌱㜹愶㌰㈷搰㘹敡っ㥥愹㠹㍤㥤㠸㉢晤愶㡢ㄳ搹愵㝡挰戹慥㤳㠱扥㝥㈵㈵㥤换㉥扤户ㄳ㤲㝢㘸㜲㌳㠸㥤扤戱㤳㌲搳愴㈶挷㙡㈴晥户挱㔶扦㥢㘵ㄹ㙣㑦㐲㌶敡㔳〴㑦ㄳ㍣㐳昰㉣㠰㔸㘰㑦戳攷㈱挲扦晤㘰戸㡤户㈰愰㍥㐷昰㔳㠲㥦〱㜸愶搹㕦㈰慡晣ㄲ愰换㜱ㄷ㜶㕢㕤っ换㉦扡挲攴搴晢㉢〴搴攷〱㍡㕦〰㔸扤挲挸挳昸晦戰㜶愴晣昴戱㑤㙤慥愰晦戰ㅥ〷ㄴ㐶㜶ㄷ㌳㘳攵㔲ㄱ晢㜸戴愲晡㌳搸搲愹〸㕤㈹慣㉣つ㡥㔷㤵挲㡡ㅣ㝥㍡ぢ敢㡤㙤㠶㕥ㅤ㠴㜳〷㈶摡㑡戸㐰愵〱㌶㥣摤昵晦搳㐰昳㐱ㄹ搰㤱㤸戰搱㐴晤攸戵㑣㈵㕢扣㍤㐳㈵㙣てㅡ㜲㈷㤳㘲㔷ㄴㄸ摢晢愰〵收㔳㕦㐴敤扥昴晡㥤挷ㅤ㜵攳摤敦搹扦攷愲㈷捡㐷愵㉢戵昱㑤晣㌲戰㠱愹搲〴㥤慥敥㥢㔸㜹〵戱㔶㜴〳㙢㐵㍥ㅢ慣㥢慥挸㘷搹〹つ㍥摡㝥攴㤷换㤱㔷ㄱ㄰㌳㐱搶㝣㐵晥ㅡ㤲搵搷〹摥〰昰㡣㤳户慣愸ㄸ挰慦ㅣㄳ㙦㤳攸昷〰㘲〸㐰㉥㐷摥㐱挰㜹㐴〷捡㜰㔷攴㠳㐰㌷ち攱㡦挰〶搴㈹搲挴㔲㔰戸㐲昰㤸㈴㝦昹换㈴〲昸戳㥤搰攰ㅦ㕥〱㑥㔲〰摣㌲ㄷ㝦〴㔹㜳〱㈸㐸㔶摢〹㍡〰㍣〲〸㔸㔱㐱㜷戰ㄴ挰㌴ㄲ㜵〲〸㍡㠵愵〰愶㈳收㍣攲つ㤴攱ち攰㜸愰ㅢ〵㌰㤳㍣搵㈹搲〴㕤捤捤〴昰㥢挹〴昰㙢㍢愱摥㉢敤㕦〳㑥ㅦ挰㥢㌸㡤ㄵ㌶㑦捣ㄹ㍢改晥㤸㘱㘲㈷㜸㜰扣㔲㉤㐹㕦捤㜴㜳愸戴扡㔴ㅤ捡㔵戶攵昵摤戳㑣㍢戰㘹捣㈸挲㤳㕡㠶㌱㕤㠷㉢㙤摢㘶㘴㔵㜳愴㌴㕥捥ㄸ挳㐳晢㠲愷ㄵ敤㠳敡愴㤳戵㐵攰搹㍢攷㈱㔸〸昴ㄲ㍣㍥晦㍡㌰慣昷〱㜹㤶っㄳ慢㔳㝡攷扢㈶㈴扡㈱㔷捤ㅢ搳㑣㤹㉥挳ㅤ㈶愴〸昷㜴戶摤摣㌰〶摦挸搰㜴㜳㜹㌹㤷捤挳㉤㐱㘵㘰挵换敤昵㤵挶ㄶ戸愲搷㤶㉡㌹㙥㔹㑦㌷㌷㤴昵㘲㘵ㅢ扤㙡㤹摤晢搵挴攴散敦㌷〷㜲挵ち㡡㤱㕡㘴戸换ㅣㄹ㉢敤挴愹㤱昱㐲㜱戹扥慤戲㑦㘸㘵㘲〴㐹搵㠸ㄶ搱搲㈲㍡㕡㍡昶㔶㍦捡挱攰㌸换摡摦敦㐶㍦慤㤶戱昹㑢㠱㔱晤扥㌰晥摡〸愴づ㝤晥昵〸㑤戱敡攳摡捦摥㈰愰昳㥢㜵慤搹㔱㙣敡㠷㜵㡦攲㜰扤愷ㅥ㠲㑣㥤㠷〲ㅣ扦㝣攳昰挴戶搰㕦㜵㑥挶㑦ㄷ㜳晤扢戴扥攷戹㕥㜸㑥㈷㌳慣㉥㐴ㅣ㝢ㄴ㐶㈶㝡〲㘳昵摤㌲㘰㑡ㅡ昶搰ㄹㄳ挱㘵㜰攴㜶㥡㉢昵戴㤱户摣㘷㌳慣〸㔷挰〵㍤㕦戱搳〶㑢㠵㠲捥㉥挷敥㉡㜷搴㍢捣晥昱㙡〹㕢挷慡〹㈰晢愵㡤搲㜷〱愵敦㤲愸㑥㜳㍤昷愵㘴㤸扣㑡㕢昴㜲慥㍡㔶挸㘵㍡ㄸ攱摥搱㍥搱㔷㌱昸攵㥡〶〲攵攳捣㈵昵㙢㌹㙢㔵〳㜵昷㘰㘵㐹搱㔱晤攸搱㉤㐲挱㝦㘲㉦户㉤㌰昱挸ㄷ㡡㝡ㄸ戸昹戹挸挵㈴㈶敢攱㝢捤㌹ㅦ昶摡戹挰挸挹㐹㙣㈴〱晥搴挳〱ㄹ攰㕦摢㠹〰㔳晡戴摢㐱㄰㔸㔹搲戳换㘰㙦㤷捡敤昶戹慥づ愸㤶㔳㑤㌹挸㕤㠶㐱㙣㕣㘱㐳㙣㐷㉥㙢㤴㍢㠸ㄸ挱晡戴㡤晢ㄳ㡡愵㐳捡挶攷昷㑦敢㘸㔶搶戰挳㙢㥥敤扢昵㥥㘳ㅢ㙥攰晦扢㜵挹㈵㙣㙤㈰搰ち愸㜶愳ㅤ敡㕣戶㘹ㄳ愲㙣㑦ㅤ挱ㄱ㈴㌸ㄲ挰㑦㑦㜹扤㙥㙡ㅤ晥搸ㄶ㔰㐱搴㐶慦㜳ㅢ户㈲㍡攰戶㤷㝢ㄸ㝥搹㤰㘹㥥扤〷挵摡㜶攸㜰㡥㔹㈹㌸ㄹ㔲㌶戲〱㙢㝥攵敡㥣敡㘸㘹㘹㠳慡㤵㝡㐷㐸㐳戱㘰㔶ㄸ㌱攴愶㠴㤸㠱㉡㈸昳㤰㜹ㅡ〷ぢ昸㡦昲㑣搱〶㘰戱愴㝡て㍦昲〹〴搴㡦㠲挶ㄷ㄰昴捣㍢つ攷㐹㤷㐰㠰㕡㔳攷㈳㔵㕤〰㈰攸㠶收敢ㅦ㐱攷㘵㈵戶㈰挶ㄷㄶ昶㐰㐰昲㝥㈷㐸㌱㠶ㅣ㥣㈴搵㠵㘴㥣㐳㠸㜳㡦摢ㄷㄷ〳扢攷扥㐸昷㌶〸㝤敡搱㘴㘲㐷〴㝤摣㑥㌳㍣ち敥〱㠱㝡っ〹ぢ捤〹㐲㈴搰㐸挰㌹㥤㑡㔶挲㠸〵ㅣ攱攱㌰㔳ㄳ搹㐵㐱〲搹㤵㍤㍣㍤戲㡢㤱㘷㥣㍣改挱慥㤷ㅤ摤搶㤶散ㄲ㈰㤹挹㐳㍢㝢㝣戵〸扡戹愵攴㤲㘴㑢㝦㜷㡤攴㡥〵㜶捦㤲晢㌴戲㠱㄰愷㌴挸挴㡥㠸昳ㄱ㜰㈴攷㐷搸敥〰ㅦ〷㠱摡㑢挲ぢ㥡ㄳ㝣㠲〴㑢㐸㜰㈱〸愴攴晡㄰㜳扢ㅤ㡦㔷㌵ㄱ摤〰㘸㈰扡㑢㍣㑣㍤愲ㅢ㈴搳㈱㌲扤っ〴昵愲扢〲㌸㑢㜴㑢㐱㌲摢㍥㡡戵㘷改㕤㠹㝣㔲㝡换挸昹㉡挴㙡愴户〲搸㍤㑢敦㙡㘴〳㈱㡥㜴㤰㠹ㅤㄱ搷㈰攰㐸㡦搳戹㉤扤攳㐱愰㥥㐰㐲㝡摤㥢㄰慣㈴挱㉡ㄲ搰ㄱ㉦愵户ㅡ㌱㔷㝡㍣〱搶㐴㝡㙢㐱〳改搱ㄹ敦㌰昵㐸㙦ㅤ㤹慥㈷㔳㍡捥敢愵㐷㙦戹㈵扤ㄱ㤰扣捦㡥㜷㈷㌲㐹搱㙤㈰㕢扡搹㙢㐴㜷㈲戰㝢ㄶ摤㕤挸〶㐲散ㄲ㤳㠹ㅤㄱ㕦㐳挰㘹㠴愷攳㙤〶㠱㝡ㄲ〹敦㙥㑥㜰㌲〹㑥㈱〱㕤昸㔲㜴愷㈲收㡡㡥㈷搲㥡㠸敥㤳愰㠱攸敥昱㌰昵㠸㙥㤴㑣㑦㈷㔳扡摣敢㐵㐷㍦扢㈵㍡ㅤ㈴㠷㘲昵㤱㉢㡣ㄷ扡改挴挳ㄱ戶㍤㜷挰〷㤱㕦㑡㌱捤ㄲㅥ㐲慣㐶㡡㔹㘰昷㉣挵敦㈳ㅢ〸㝤慡㐱㈶㜶㐴㍣㡣㠰㈳㐵捦挴㘷㠲㐰摤㐲挲㐷㥡ㄳ㡣㤱㈰㐷㠲㝦〵㠱㤴攲ㄹ㠸㜵㍡ㄳ㥦㍣㔱搷㐴㡣㜹㄰㐱㡣㡦㝡戸㝡挴㔸㈰搷㈲㠰晦㐹㄰㑣戱慡㠴㌷挲攳㡣㤵㉦㉤㜳㘳㌱㔷挵㠲㡦㌵㔸㤶慢攲搵搵㘹〲㈰㈸扤愶〷换㠵愰㈷搳㈲搷挰㍣扣㌱愹挶攲㍣慣㌱摤㙢㠲捥㙢㤲㙣ㄹ愷ㅥ㥢㜴㑦㐴搲㐸㙤㔲挷㝤挹㙡ㄵ㤶ㄷ捤㌶㕣挵㔱㤳晢㥣㍤㜲愷攱昱㔷搸戸㜲㈸ち㜵ㅢ扢つ扢㉤㔶ㅥ摢ㄱ愶挹晢ㄴ㄰㔳㜷ㄱ㡦ぢ㥥㉥㠵〰捤㕥ぢ㌷摤摥攳ㄹ㉥㔶戰㜰っ搸㌱っ捣ㄹ㜶㜰捤㜸戵㈶㐵摦㌵换㑥挱㝥晥㥡㈲㡣戹㡣㕥捥敥㈳㤶〰摡㘶ㄹ慣㜲㔱扦户捥〴㜰挱攳㔹扦挳㍤㔴戶㘵晤㌴㔲㍥挸づ㐶ㄷ攸愷㔳摣敥挶㐶〷㘳慢っ扤㈸戵㌰㔲捤づㄹ㍢愴㘷㘷慤〱户っ㡥晣攷㡤㔹㌲㠳ㅢ㤵慢㕥搵散㑦㔷攰㈵愸搲〴戴㐳㜲愰慢收㝡㈳㡦〳昳㍢っ㔸㙣㜶㘸㙤愶㡡晤㍡㤷〱て搶敤㍢ㅡ㠲㐴摡㙣㉤〹愹㈷㘵㡡捥㕢摢〸㡥愱扤搴㉡昴㘷捡攷搵㈵攲扡㙢昹摣戱挴攷〴㙣摦搱㌳㘰㍦㠵攳〱㜳慤㜷扢㠹㈳㘹㤶戳ぢ㙡捤㜰㜲昲敡㜴㜰昲㘸ㅥ扤㐸攵㉡㑥㥦昲〰㜴ㄷ㠷㑥ㅥ收㕢㌵㠷愳敤昹摤㌳捣攱㘲㈶㡦㔳戲搲㡡㜷收㙣㜹ㄶ㘶㥦搰ㄷ摤戴昶㠸㥡㐲㉥戶㔰㠶㜱扤挹㌹㡤戸昷慥㍣戵㠲㌲慤挹㑥㠸㠰㍡㙥㡦扢㘷㔱㤱て扣户ㄷ㐰愶晤㈶㜶愶攵㈵ㅡ㑣㙤つ㈸捥㘹摣愰㜱户〷攵㠸昳㤰慤㉣攱㔲ち㕣㠱ㅥ搴㡡㥣㠵摡㈷昴㠴㜶㕡㙡㔲ㄴ昸㌲昶㜲㠴㤰〹㘶㍤昹攳㝢㡤戶ㄱ㥥搷㤶昰ㅤ㠳户㡣攰收㥤戵㜶摢〱㥤戴捦搷收捦挵搹㜴扣㡡㕡愵〳慦〵㐱㠷㤴㕢㝣㜲㤹戶ㄳ㤴㠲㝢㝤搶㌲捤搲慢扡ㅢ搸㍤㉦搳戸㈷〸㐲㥦㝡㈶㤹搸ㄱ昱㉢〴㥣㘵ㅡ㠲愸㥢㜴㐰㥣〵〲昵㙣ㄲ㍥摦㥣攰㔳㈴㌸〷挰晦㈲〸敡㈷㥣㐹户扣挸摣㕦愰ㅦ愱愳㐰㝦ち㠶慢㠲ㄳ㤴搸搲㠳㜵慦㑣敢㜸〱改㉡晤㍢㡦㍦昶ㄸ㜷㄰㝤攲㘵〰愷㠲㥥搵昸㜹㉣晦搳〰攲㔵㄰搴慦㡢戹攱㘳挹昶㝣㤰ㅣちㄷ摣〷㕢ㄷ扦㡥晣㔲攰ㄷ戰㠴㌷㄰慢㔹ㄷ㕦〴散㥥〵晥ㄶ戲㠱搰愷㝥㠶㑣散㠸㜸ㅢ〱愷㍤㥥㜵昱挵㈰㔰㉦㈱攱敦㥢ㄳ㝣㤶〴㥦㈳挱㍢㈰㤰敢攲捦㈳收㍡〴㜰愳愰挹慡昸ぢ㈰挱慡㤸㝢㔲㑥愱㥥㔵昱摦㤰攷愵攴挹㠹愹㕥㠸ち㜰㤶㄰晦ㄶ愱㌹昶敤㠳昹㤵敥敡㥥つ㡢㜶攴㤰〲扣っ〱搱〱㔰㈳挰㉢㠰搸戳〰〳捣㡢㥡慢㔷摡〱㐶〴㜷愸㥣戶㜸㉣摢慢㠰㔶扦㐸㐲敥㕥㌵㈱戸㥡〴搷㤰㘰㍡㠰ㄴ攰戵〸戸〲挴㍤㠸㈶〲扣ㅥ㈴㄰攰㑣晣㌸㍣㍤〲扣〱㘸昵㐶〰㜱〸〱敢㝡㤳ㅤ㤰㍤晤㌰㐴敡㥤㜳つ㡥㔳搹〸㤳㉥搴㤱敡敥㍣摣搶っ搲㔹㘷㠵㌸㑣戰㡥〴づ㉥挴㔲ㄹ㥡㙡慢㍦㕦攱收㕤㡤ㅡ㑣㥢㕤㜷㕣㕥㘶㘳捡愱愸㡤㕦挷㔶摡愴昹搹㠲㠹戳戳捣挳㐷戹ㄹ昸搹慢㜲㤹㜲愹㔲㌲慢摤㈳搸㤲改收昵〳ㄳ敦㤰㝥晦㈸㌸㌶㉤㤳つ㙢㉢愲㈱晥ㅤ㍣㡥ㅢ搸㕡㉣敤㉣捡摡昸㉢扣㠵挱搲搴昶㜶ㄶ挳㌷㡢㝣㡥㠴ㄴ㠳昴收㌲戳㝡ぢ〲搳㕢㠳摤昸攱㔸㔱晥ㅥ㠱愳〶〷〶搷㡦㠶昴㘸搸っ㘷戳攱㡣㘹㐴戳㠹㔸㍡㙢愶ㄲ㝡ㅣ㔷〳捤戴ㄹ㑤㠴㤴㕢㕤搲㐸㈲㘲㘶㘳㝡㈶㤱㌱㐲扣昱㤶㑣㐷㔳㤱㘴㌴㤶㌴㤲㜱㕣㤰㠹〴攷摡散搵㉦㈳愰摥〶㄰㍣挲㐱摤㑥搴㔷㠸愲户㤵㤵㤸愰昲㝦ㄴ愸昷敢〴㘵㝢㐴㕡㘴㐴㔶ㄸ㙤敤敤つ㐶㑥㠳昳搴㍤愰慤㈸㌳㤰搷扦ㄱ㘲慥户㡣㥡㘷㐲慤㍣㕡㤴㤹㔹敦慦〲慦摥〵㄰〸捥〷㘴㠵㤴慦㈱戰摦攰〰㑥〹搷ㅣ㑥㔶敥〶扥ㄳ㜸昹攲㕥㡦㡢ㄹ捡搷㠱㤹〹㑣敤㘵㕡攵ㅢ㐰捦〰摡戳㠹ㄴ㕣〰㥣㔴㕦㥡挵敥㐷㜰て㔰昲㑥愹㔸㠸㄰晥昹搴㙦搹〱づㄴ戱ㄸㄱづㄶ㌱㡣㔶戲㡢〲改㔳搹敦搸挵挴㜲㘰搸捤㙡扢挹搱㐸㤶攵摣㡦〰扡㐹て㝥㘴㌷昹㌶〲㔶㌷挹㙡愱㐴㌶㤱挰摤㍣摣摤㑣㙢戱㤴ㄱ搶㜰㠳㔳换敡㘹㌳㙣㙡ㄹ攵㍢㉥㈹敥昶攱㤲㘱㔸㌳攲㤱㜴㌴㤳㌲搳㐶㉣慢攱敥㘴㉣㤴搶㜱㉤搱〸搲㕤㉢㍢挰㜷ㄱ㔰ㅦ〰〸㠶ㅣ搴昷㠸㝡㤰㈸捤㐱戹㔴㠲㕥㔹㜶ㄵ搱㡢㈶㔰㡤㝣㡦愹て〳愳㍥〲㄰〸搲㌱㉢ㅢ㐲㜵愸㤴扤㑡㜱慢ㄴ㙥㌰づ㌰㈱捤㠳㤸昵㌱㈶捥㐱㐸㐸户㉢㔱㑦〰㠵㝦昲戶㤸愰摢㔵㑡㔳㐳㘱㡤搲㍣〶搸㐶㘹ㅥ㠷㑣戲㥣㥦㈰〰㘹㝥摣㡥㉢㑦㈲㘰㐹㌳㙥愴挳㘱㌳ㄲ㑤㠵㈹搲愸㤱㌲㤲㤹㙣㈶㤳搱㈲㈶慦摣㘶㤴愷㕣搲㜴㔴搳捤愴㥥挵㤸ぢ㐵攳㝡㌲慤愷㤳㈹㈳ㅢ㌵戳愹㄰㠶㙢㐴㜹摡㈵挵㠰㑤挴㘳搹愴㙥ㄸ戱㘸㈴㙣愶っ㕣て㡢㘳㘰㘶愳攱㜰㌶㤶㔴㥥㜱㐹㡤㜸㈶ㅢ捡攰愲㜲搲㡣㐷㡤㘴㍡㘵㈶㤳㌱㉤愹㘷㌴㌳ㄴ㑤㥡㐶戰ㄷ愴戲ㄱ捦㈲愰晥㙦㠲攷〸㝥ち㄰晣〴㠰㑣晣ㄹ㔱㍦㈷昸〵挱㉦〱㠲㑢〰㘴愲捣㐴㝡㔵昲㘰㜶㌱〰㈰㌵昸ㄱ㕢㠳ㅤ㤴昹㑢㈴㝡ㄹ㈰㄰愴㝦㔸收㙥愶挱㈱㈷㔱㡥㠷㙥㘶晤ㅤ戳ㅥ㡥㤰㔸㠶㄰晥昹搴㔷敤㠰ㅣて㉢㄰㤱ㅡ㥣搹㔴㠳㕤㑤㌵㐸〷戰慣挴ㅢ〸㐰㠳挷攳㠷摣㤴㌷ㄱ戰㌴㤸〹㈷㌲㤹㘸㍡ㄵ搶昴㘴搴搴㐳㈹㍤ㄳ㠹ㅡ昱㔸㕣搳攳㌱攸㔱㜹㙢㠲㌴㘱攲敡㜲㈸㤱捡愴㌳搱㜸㈸㤳づ㐷攲搰㐸㕣㡦㘴㈲戸搹㘸㈸㙦扢愴搹㔴搸挰㔵㘷㔰昳㑡㙥㍣㤵捥㠶挲搱㜴㈴ㅡ换㤸㕡㔶㡢挷㠲昴㌸戳㈶敡敦ㄱ㔰摦㈱㜸ㄷ㈰戸搲挱晦㍦愲晥㐰昰㐷攲㔷㌹昸㕡㝡戱ㄶ㜸愹〷㘱敢㠱敦㘲㤵愳㔲ㄵ〰㠱攰㍡㄰㑣慡〷㝡愰㘵愲搴挳㝣㘶敤㘰搶㡦㈲㈴㌶㈰ㄱ晦㝣㙡〰㈸〶愴ㅥ㑥㐴㐸敡攱敤㍦㌷ㅢ㐹㙦〲摢㌸㤲㌶㈱㤳㉣㘷〶㔸㐱て㥢敤戸搲㠵戸愵㠷〸〶ㄲ慦㘴㘷㘳戸挰㡣敤㜷㍤㤳捣㘶㡤㐸㍣㤶搴㡣慣ㄱ搳ㄴ㝥戵挲㈲挵㔵散㔴㌴愹挷㌳㠹㘸㌶慡㈷㌳挹㑣㈶ㄱ搷ㄳ愱㐴㔴㑦㐳㈹㜱㘵愶㑢㥡㐸ㄸ㜸愷攱㠶㜲㉣っ㑤愵戴㌴ち搰㘳㈱つ㌷搶㌱㐲戴愴戲㥦㑢㥡挱㕢㌳㤶㑣㠷昴㐴㑡㡢㠶挲愶㥥㑥㐳摢〹っ㉡〳㈰㥡ち㥥攴㌴㘲ㄶ昲愸戳〹昶㈷㌸〰㈰㜸戲㤳㜸㈰㔱㜳〸づ㈲㌸㤸㠹愷㌸㠹㈴昵攴㈴㈳昱㐹㈴㑡つ扥〰搱㜱㉥㤴㈳愹㥢㤴㜳〱〲挱㔱㈷㜷戳㤱㜴扡㤳㤸愶愶㝡〸ㄶ㌰敢搱〸攱攵㙡㙢㜰㈱㔰〸㕢ㅡ捣㈲㈴㌵昸㜴㔳つ㍥搹㔴㠳㕣㥡㐸つ昶㠰ㄵ㌴㘸㈲㡥㄰慥㤶〳㕡㙡㌱戳ㄸ㍥㘱挳挸㘸ㄹ㉤㙡愶搱摤戱ㄶ挹㥡ㅣ㘰㈱㌳㥥㡤㉢㈱㤷搴㐸㘵㔲昸昰㐷㌶愶挵搲搱㘸㌴㥤㡣㤸㐶㉡㙤㘰〹㤲㤲户挷㠳㕢㙣昶慡㠶㍣㙡ㄸ㈰㌸收愰㈲㐴㐵㠹愲㔳ㅣ扦搸ㄶ㈴㡡㔴㈲て㤴㤴收㡦㙣㘹昲〵愹㈶㤹㥥〲〸〴ぢ㈰㤸㜴㍣ㄴ㥤挴㌴㜳挵〸晡㤸㌵㡡㤰㝦ㅢㄲ敢㤷ㅢ㥥搳ㄷㅥ㐷㉣㉣㌷㕦搰攳ㅤ㤷ぢ㤷㤹收扡㜱㍤㡦捦㙤慣㠱㡢愶㑡搴扥㘰搸户㔹㡥戲㍤慥搹㘴ㄳ㑥㌹㡤㑢愷㝡ㄹ搴㉥戹散戶挹㡢㜴㝢攷㈶〸昸ㅦ㠰敥摥㕦㈹㔰㐹摤挲㡥㤳ㄴづㅢ㔲搷㜰㈹㙣〷〱㘹搴㈱㈰ㄸ㤰㝦㜴戵㑡散㔲㘰㥤挷㑦户搰晢昷㐱㌱晦㉣㉣摤敤㑦昱昰戰捡愲㍣㍦挴搳散散㐳敤搹愰㘵慣换㜸戳㍡㠸㥤づ㜶〵㘸㔸㌹㑥攷㘲㌷戰㜲挴晥㤳㘷挴㉡挷㈳㝤㔲ㅢ㐴摣摢㜴ㄸ㥦〹㑥戲昷慦㐴㘶っ攳戳㄰攷ㄳ㍣摢〹㝣捡〹㥣㘳〷扡捥㐵㠰愳㠸㔵昹㔰㥦攰㜹攰㉣㕦㠲㜵ぢ㍣㝡㌱㈴晥㌸㤴愷慥㐳㔵攵㌷ぢ㠴昴㍤㄰㌵〲ㄴ慢㈷摦㐸ㄷ㈱㈴愵昳㔵㡦㜴㈶㔶捡㜷㌶ㄵ挴㘷㤰㐹ち㘲㤳㈵㠸㡢ㄱ㐷挸愷㙣〶戴收戳㔸㌸㤱㡥㘹㤹㜴㉣㥡㌲愳愹㤰㤶㑣㐷㘲㘶㌲ㄴ㡦㘲㠱㤰捥㈴㌵攵㈴㤷㌴㡥慦挴㘸愶捥〵㔸㌸ㅡ挷搲㉦㥥捡ㄸ挹㐸㑡㡦㤹㈱㉤㘱㥡挱㑢㙣昶敡挹挸愳㥥〲㄰愴晢〲扦㍥昵㔴愲㑥㈳㡡捥っ㠹㜲愹挴ㄷ㠰㤲昳搹捤㘸〶摦づ昴〹慢㍡戳愴〱〲挱扦〱挱愴昳搹愵㑥㘲㥡戹〶〸㜲捣摡㡦㤰戸っ㠹昸攷㔳户〲挵㠰㤴㈶ㅤㄱ㔲㥡㔷㌶㤵收攵㑤愵㜹㈵㌲挹㑡㤴挰ち摤敡㉡挴挹㑤搹㠶戸㈳㑤㉣㔰㤳搹㜸㌲〶昳ㄴ摦㝢㐹挶㤲挹戰㤱挴㤲㌸㤲㡣㈷攳ㄱ㘵扢㑢ㅡち㘷攳㝡㔴㌷捤㌴㡣搲㙣㈸㥥挴㈲㌹㤹㌱昹㝥挱㝡ぢ㠲㉦扢愴昸攴㔴㈶㙥愶㐳戱㈸戹㐶㡤㜴㉡㘴㐴愱㈳㕤㑢ㅢ改㘴㌴ㅡ晣愲㕤ㄳ戵㠲㍣㙡㤵㠰㌷〵㠲㔷㍢昸ㅤ㐴敤㈴搸㐵晣㌵づ㥥㔴ㄶ㍤㜳㡡敢㠱㤷㝡戸搰搶〳户㕤搴㑦㤱攸ㅣ㠰㐰昰〶㄰㑣慡㠷ㅢ㥤挴㌴㜳昱㘸戱㝡ㄱ戳慥㐰㈸㜸㤳㤳㜸㌱㔰搳㕢晤㌴昱㡦㥢㝣挳捦㘳㔷㉥㠲㕦扣收㌳〵㑢昱搹㠱摤攰攲㙢挵愹㉣敢㉣㔳㕢换戱㝢挷㡢㌳㍥㜷㐳昸攷摦㠵㔶晦ㄵ㝣搰㈲捦㌴㑤㡥㕣改慢㥦㐵㔵晤㕦㐶㘲㔳扦㝢晤㜷㕥扣㕦㡥攲㕣戴㝦㘱戸〲㐳ㅣ㌷㌴㌶㤴晡摤捦㔷捤㜴っ昴㐵捥敤昹愳㈶㌰捥戶㤶㤳㙤㑤搹捤㠷摢攸昰挸㈰㘱ㄱ敦摡敦㍦ㄱ昳㥣〵㍢㘴〲㡢摤㑣散戱ㄸ㔹㠷㘳〵㘷愳摡㕡㕡ㅢ慥㍡挸〵㠲晤愱㉡ㅥ晥㈲㌷㝣ㄹ㘲㌸换晥㜳㐸㤳㤳㜰〳戹慡㝣㕢昰挲扥㔰改摥㔱㍥て㌱㈹扤昳搶捣搳愲晥㉡ㄴ㔱敦㕢㥥戴㡣㕡戱戳㐴昶㡤㠰晡〵晣㠸摢㤰㑡搹ぢ昵㔶ㄶ㜲愹㕢㐸㑣㙣㐳㈱㉣㠸㐳㌸愰㕥㐶㙡㝡㝤㠸㈲〳昱ㄵ㍢挲昴慥慦㈲㐲昳扤敥昵㐰户扥㝣晡慣㥦づ晢㌷搸搷㜵㤷㤳攳㌴㌱昷昲㝥晦昳攷搶㕦慡戸㜷慢昹戱敤慦㠷晡扥扦搸㜸昰攸搸慣㍥㜱て㜲散て㍥敡改〴㍡㐱ㅡ㐰㙣㐵㡤㥡㕥㤰㌸挳㑥愸扦戳ㅤ晣ㄶ㌸挹㘱㝡㌵㕡㌲扤㔵摣㡦㌸〷㥣ㄸ㐳づ昶㜲搹㌱慦㘵㤳扦ぢ戴㈵愰㙦㈳愴㕣て㥣扦㜷摥戲㜹㌱㤱〵㥤㈳㡣㠰㝡㈳㠹ㅦ㜰㠹扦㐳攲㉦㌹挴㜱㜱扡㑤㙣〹昳敦㐸㑣摦㠸㤳㕦㍣㘸㐷愴㌰ㅦ㐶攴㠳〹昳ㄱ㈷挷㘴挲っ㝣㙢㜰挵挳㐷挵晡ㅥ㍤㘴搶㔹㠷㘶攷昴㠹挷㤰愳㤹㌰㑦㐱㐵㥢ち昳㘴㍢愱晥晥㜷昰〹㜰㤲挲扣ㅤ慤㠲㌰改㈷㤱挲摣㡣ㅣ慥㌰敦㘰㤳㥦㐵㤲㈵㑣㍡㑦㤴㝦〰づ㕤㝡ㄹ扡戴搸㘰ぢ〸㈸昴戶扢㐸㑤㡦㠳㐵晤ㄴ愹敦㜶愹攳㘲慤㑤㉤㜷㍥搴㙦㤰㥡づ〹㡢㥡㉥ㄴ攵㥢㉥㜵㐲慣戴愹戹㈲て愸昷㤲晡愷㉥昵㌳愴晥㈷㤷㍡㈶㔶搸搴㙣㔳㐰扤㡦搴㍦〳つ㔵挵攲〴ㅤ㈴㡣㌰㕤搰㔱攲㉡昱㤷㜶㠴攵㜴扤㠴〸〳敦㝢㐴㠰ㄶ捦散㍥昹攳㥢搳搷昵戲挳㘱㌲愵㍥晢摥㡦㙦㝤扤摡搳㜷收㝢㜷摦ㄷ戸㈵搲户昰愰愳㡦㌸攲戴㌷㤷㉣㥣㤹扣昹㤹昰昳㑢挴敦挰愱㤹㤲〷㔱晤愶㑡ㅥ戰ㄳ敡敦戸〷㕦〵㈷愹攴敦㐱ㅥ㔰㌲㕤㈹㔲挹㝤挸攱㉡昹㈱ち敢昷㐸戲ㄴ㐱晦㡡昲㝤㑢戴㥢攷㘹㜱昱㜱㄰㍢愲ぢ愸㡦㤰晡ㅤ㤷晡㉤㔲晦挰愵㡥㠹愴㑤㙤㡤㤹ㅦ㤱㥡摥ㄱ㡢㌷扤㉣捡㡦㕤敡愸㠸摡搴㐰㐱㙤㡦㤳㥡摥ㄳ愷㌸昱〷㍢㐲㙥攲㡦㜶㠴挴㕤㥣て愹愵て慣愹㉥攱攴㥣㑣㐳慤㐷摤㝢捦敡㉦捤改扢晢㠱㉢㥦㥡晤昶㠱㝤户攴换户摤㥥㥥搶㠷㑢づ捤㌵㜳っ㕡搱㔴㌳㍤㜶㐲晤攵晢㈰晤㌲㔲㌳㑦㈲〰捤搰戹㈲㌵戳ㄸ㌹㕣捤㍣つ慣㤸〵㘰㐹慦ぢ㈱攵㔹㠲摥㜹晤换攷㈵挵〲㕢㝡搶㄰㜹㡥搴昴㙤㔸搴㜴扡㈸㍦㜳愹攳㘲㥥㑤㙤つ㤱㕦㤰㝡㝦㤷㝡㈶〹㝦攵㔲挷㐴户㑤つㄴ㌴昳〲㝥〴㕤㈰ㄶ㙦扡㕥㤴㝦㈷㤰㌵㐹㠸㐳㙤㙡㙢㘸扦㑣敡〳〱愸㐷㌹晣攸㔵㜱㤵㝡㤰ㅤ挱㡦㑦搰换挲ㄴ㌹晣扡ㄱ昹敢㠶摦㕣㠷挳㘴捡㝤挰晦㠵摤ぢㅦ㡦昶㝤㍤㌴扥敥户ぢ〷晡㤴㘵搷ㅤ愰慥㜸㜵挹㌷晦攵戶攸㠶ぢ㕦㕡㈲攸㠳㘹㌶晣づ㐴㈵㥢㉡昹〰㍢愱晥〳〳㐱扡㙥愴㤲㝦㡢〰㤴㑣晦㡢㔴昲㙣攴㜰㤵晣ㅦ挰ちつ挰ㄲ敤㌱〸㈹晦ㄷ愰㕤㡡ㄶ㤳㙣㄰搴㤴㄰㜰搰挴敢昸ㄱ昴㤷㔸攴㜴捣㈸㙦〲搸攴㌱搱㘹㤳㕢〳昰㙤㤲㐷〰ㅣづ㠲敥ㄷ㐶攴㑢㡢摥ㄵ㉡攸㝤㡦愲慥㤴㤳㘳㌲〱晦攳戱挲搸摣扡愸㙦摤晤摦㕢㜵㐶摢敢㑢㐴ㅦ㜲㌴ㄳ㘸㍢㉡搱㔴愰㡡㥤㔰晦挱〲㐱搷〰收〰昸㔵ㄱ㘰晤昹ㄷ愴㝦㐰㡡昹㑦〸挰㠲㜱㍣〳㐲ㅡ敢㈴㜷㌱㈴愷㜹㉥挹晦㠲㠰㑡愹㑥㙦ㄱ戴愹愵㙡㝣㈸摢㔵つ㑥㉦昸挴㍡㈴㑤㔴晦ㄵ昲㑢〳㠸㍦晥㘹㤲敡晦挱㑥愸扦攱ㄹㅣ〱㈷㔹㜲㍢昸愲㍦㙣㜲ち㝤ㄷ㌹摣㐲㔵ㄶ㑡㉢搲㔲㌰㡤㕡㘵ㅡ㜰㔸挰㙣挶〲收㉤搰㍡扡っ愸搳㐹㑣㥢搴㈲㍥㠹挴㕤づ㜱㕣扣㘶ㄳ〳㠳慥㌳㤳挴㌴㔹㥤晣㠲愶慢摢ㄷ㜴㐴㍥㔸㕦愰ㄹ㉢㜳㑣搶ㄷ㥥㠸㝤昷慣㕢攷㈷晢晡㍦昱敥昶㉤㜳㝤㝤㠲㈶散㠴㌰㜵㔷㤸扦戵㘵搶昰〵㥦㔷散㠴晡摢愲挱慤攰㈴㠵㜹㈰㕡〵㘱㤶㄰㤷ㅡ晣つ㜲戸挲㍣㠸㑤慥㈰挹㤲て㙤㕡攵㄰攰㈰捣㌵㄰收㑢戶㝣㠰㠶㝣㍥㐲㘲摡㤹ㄶ昱㜶ㄲㅦ敥㄰挷挵昳㌶㌱㌰㈰㥥㑢攲㜱㤷㤸㜶慤㜲愴㐳㥣㄰㍦户㠹㔹挵㠰㝡ㄴ㠹㘹慥㔲搸㐴㠹㥤㜶㠴捣〴捤㔷㐷㈷㕤㌴㑣昷敥挵㐶㙢㔶收㥣㑣ㅤ㡢㥥昸挴搹㥦㌹㙤㘱摦扦㙤扤昵挰㘹摢摦戰㤷昹慦㉤ㄱㄷ㈱㘷㌳戵㍣㡢㔶㌴ㅤ愲捦搸〹つ㜷㔸㘹〸敦改づ慢攷㈳㠴㌴㙣晣㈶捦〷㑣㌳㉤㌴㙤㔷㜹搲㌴㉦㌷搷㍢㜱攵慣㡣捦〰昲㠳㑦戸㘸㠶㑦㍥搹㝢戶戸㜱挹㤳㌷捥愵㈶㔵挶㤸㔹㌱搷㤴㜱换愹摤ㅣ慥攰㉣㘵戶〳㥦㌱挳户愳捡挵㝤挱㘵㡢攳づ㙤㄰㄰ㅥ敢㈶㕡搳㤳〶慢㤱摣搴㑥㤴㈷戴㝢㈶攴攱㥣愷㙢攱㑤戵扤㜳搸㉡㡢搰〱㥤慢㐵㔹捦摤换㌶昱ㄴ㔴㙣㙤〷㥤攷㝢㑦搶ㄹ㑢㉥昵㘸搰㑢㉢㑥㑥挴〰昸㕡て㔱㍣㙤㈲㠱捦㑦搷㐰㝤挳㜸敥㠳搳戱慦敥晢㝣搳愶戱戵捥搳㐶敢㜶㉡换㥡愳愵扤㌰慡昳搳改ㅤ㠵搱扣㔱摣㔲ㅤ㜳㍦㤷㡥㤵〳扥㍦愰㙡愰㘲㔱晣ㄳ㤷〱㤲慢ㅡ昶㘲慦〶㠶㍤㔵㠹〰摢扣昹㡦㌵㙤㝥っ昴㜵捤㑦㄰㌵搱㝣㜱㉤昸㔲〴捥㈳㘸㘴捡㉡愴扣㔵昸㍢〷㝢慣ㄷ㑢㙢㑣㔶散㌸㘰慤摢㈳戵㕡㜹戸㘹戵㝡㔹〷捥愶ㄳ㕡㔹㐲㤴愷㕡㜷㠰㜳㑤戵敥㜲㉡搰敦慤挰㌷ㅣ散㠰ㄷ㝢慦㠳ㅤ昴㘲敦㜳戰㐳㕥㉣㙤つ搹㠴愵挰扡搷㠷㙡㕢㜱㝦搳㔶㉣㐷㠶扡㔶っㄳ攵㘹挵㐳㘰㕥搳㡡㐷㥣㍡㥣攰慤挳㡦ㅣ散㑡㉦昶㜱〷扢捡㡢㝤ㄲ㔸㔹摦搵挰㌶ㄳ昹㌷㥡㔶㜶㉤愸敢㉡扢㥥㈸㑦㘵㥦〶攷㥡捡㍥攷㔴㘰㠳户〲㕣㠹换晥戱搱㡢㝤挱挱㥥攸挵扥散㘰㌷㜹戱㕣㕦捡㈶㙣〶㜶づづ戱扡㤷㘶㙡挵㝥㝢搳㤶㥣㡣㑣㜵㉤㌹㤵㈸㑦㑢晥〳〵搴戴攴㜵愷ㅥ㥦昴搶㠳㡢㑤搹㤲㔱て㌶挸挵㥡㝣㔳㥦㉥ぢ㈲㐸〳〴〴搷㙢昲㤵㝤㈳敡挵㔷昶㑣㜴攰づ㜸攲戸㌲㤳敤挹㠲㙥㍡戶愵㡥敤挶愵㘲捣㑥戹㡣㄰搷㌷㙤㠴㐹戶㕣㥣〹㉥㄰攵扣㌴㐶㤴愷ㄱ㕣敡㐹慥㘷㈰㘱攲㕢㌲㍢攸㍣慣戴㠸慢ㅣ扥扦つㅦ㌴㌱摦攵㕤扥㉤㘴捣昹慥㔸挷㤷慢㐴ち攷㡥㈵晦愷敦㥣扥捦昵ぢ㉥敦㘴㐱摢㄰㤸㠳昳㥡㤳愸攳㔲愷㐴㥦㜷㠶㉤㤳㝤敤㔸收晦㈲挲摢ㄲ㉥ㄱ㙢搴挱㘵愰ㄴ晣づ〴㔰ㄵ㙢敥攳㝡㑦㘲㜷㝡戱㕣㉦挹摡敤㐲愰收㈰㘴㙤㘷戹戸㘹敤捥㐴愶扡摡㥤㑤㤴㐷捥㕣㜳搵搴㡥敢㉡㔹㡦㜳㄰㜰㙢挷〵㤴挴㥥敢挵㜲愵㈴戱攷㜹戰㝥扥㜵摥昷㉢㤱㝡摡换敤扤㑦愳ㅣ挱昷ㄹ㜹愸攷摢〱㐶扡昸㔶㘱愰〳扦扥㉥扥㑤摣㤸攰㕢㐱扥ㄸ㉦㈰㥡㉦〴㤹晦㐲㍢㈰昳㜳昲㜷㜳㜴㜱搲㜷㘳㠲搳户捣㝦ㄱ搱㥣戹㘵晥捦搸〱㤹㥦戳戴㥢愳㡢戳昳㐴㡣戳昲㐴㡣戳戱ㅢㄳ㥣㔴㈵敦㡢㠹收㝣捡㌴昵ㄲ㍢挰㐸ㄷ攷㑥㌷㐷ㄷ攷捣㠹搸㉡㙦㑣㜰搶㤳摣㍥㑢㌴㈷㍣挹敤㜳㜶㐰㜲攳攴㌶㤱㥦㤳摡㐴㡣㤳搹㐴㡣㤳㤸ㅢㄳ㥣㠷㈴敦捦ㄳ捤㈹㠸㘹敡晦戰〳㡣㜴㜱扡㜱㜳㜴㜱㥡㜱㘳㠲搳㡢㥣㑥㉡攸戹㥣㑥昸㕤㥦㡥ㄶ㐵攸㑥㐲搹㑥攰㘱散づ㕣户攲㌴㈴㜳㙣户ㄳ戸㈲㔶晦㤶㕣㌹㥦挸捡㕣挶ㄸ愷ㄲ㔹㤹换敤〰㈳㠲㜳㠳愴戹㠲㔸㑥ぢ㤲收㑡㉦つ㐷戳愴戹㡡㔸づ㘴㐹昳㐵て㑤ㄷ〷㉤戱㔶搷攲㘰㜵㘳㠲攳㑤收扦㥡㘸づ㌵㤹晦ㅡ㍢挰㐸ㄷ㠷㤵㥢愳㡢挳㘹㈲挶㘱攴挶㠴散摦㙣愳㘳ㄱ㈳散ぢ戲㥦换〹晡㍡〴㘰㑡挹㕥摣㐰挵摥㉣愹㙥戰愸㘴㕦㙤愰㘲㥦㤵㔴㌷㔹㔴戲搷㌵㔰戱昷㐹慡㥢㉤㉡搹㥢ㅡ愸搸慢㈴搵㉤ㄶ㤵散ㄷつ㔴散ㅦ㤲敡㔶㐹搵㐵昵㙤〲㔵换㉥㤱㌹㍤㝢晡改敦㜶戵㜵ㅦ摣戶戹慦昳摡攷ㅦ㝤昱昲愷㑥敤晤昵㥦㙥戸攱愹㤷㉥㝦散㑦摦㐹昷晥攰㤶㕢ㅥ㍥晥㑢㡦扤戸㥦㜹㜳换户摥㕤㜹昳搹摡搶戳户㥢ㅢㄷ㉥㍦晢愴㌳搶㘹㙢㘷㉥㙡㙤㙤㙦㥦㍦敢㠷㜳ㄶ〴捦摢晥捦攲愱攷づ㉣ち搹㈳ㅡ慡挱㥥㈱慢㜱㥢慣㠶㤰㝤愲㠱㡡㝤㐳㔲㝤挵愲㤲扤愲㠱㡡扤㐳㔲摤㘹㔱㐹摤㌷㔰戱て㐸慡慦㕡㔴搴㥥散捤㈳㜶㙦ㅥ㐰㤶づ攱ㄳ㔴㤸㑣㔸㕦㤷㐰ㅤ挹㠴㜵㜵〹㔴㡢㑣㔸㕢㤷㐰㑤挸㠴㌵㜵〹ㄴ扥㑣㔸㕤㤷㐰㜱挸㠴㔵㜵〹㤴㠰㑣㔸㔹㤷挰㐶换㠴ㄳ敡ㄲ搸㑥㤹㜰㝣㙤挲戴晦〴ㄷ㘷㘹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</si>
</sst>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
  </numFmts>
  <fonts count="6" x14ac:knownFonts="1">
    <font>
      <sz val="11"/>
      <color theme="1"/>
      <name val="Calibri"/>
      <family val="2"/>
      <scheme val="minor"/>
    </font>
    <font>
      <b/>
      <sz val="11"/>
      <color theme="1"/>
      <name val="Calibri"/>
      <family val="2"/>
      <scheme val="minor"/>
    </font>
    <font>
      <sz val="10"/>
      <name val="MS Sans Serif"/>
    </font>
    <font>
      <b/>
      <sz val="10"/>
      <name val="MS Sans Serif"/>
    </font>
    <font>
      <sz val="26"/>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00FF00"/>
        <bgColor indexed="64"/>
      </patternFill>
    </fill>
    <fill>
      <patternFill patternType="solid">
        <fgColor rgb="FF00FFFF"/>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cellStyleXfs>
  <cellXfs count="38">
    <xf numFmtId="0" fontId="0" fillId="0" borderId="0" xfId="0"/>
    <xf numFmtId="0" fontId="1" fillId="0" borderId="0" xfId="0" applyFont="1"/>
    <xf numFmtId="0" fontId="0" fillId="0" borderId="0" xfId="0" applyAlignment="1">
      <alignment horizontal="center"/>
    </xf>
    <xf numFmtId="164" fontId="0" fillId="0" borderId="0" xfId="0" applyNumberFormat="1"/>
    <xf numFmtId="0" fontId="0" fillId="0" borderId="0" xfId="0" quotePrefix="1"/>
    <xf numFmtId="165" fontId="0" fillId="2" borderId="0" xfId="0" applyNumberFormat="1" applyFill="1"/>
    <xf numFmtId="0" fontId="2" fillId="0" borderId="0" xfId="1"/>
    <xf numFmtId="0" fontId="2" fillId="0" borderId="0" xfId="1" applyAlignment="1">
      <alignment horizontal="right" vertical="top"/>
    </xf>
    <xf numFmtId="0" fontId="2" fillId="0" borderId="0" xfId="1" applyAlignment="1">
      <alignment horizontal="center"/>
    </xf>
    <xf numFmtId="0" fontId="3" fillId="0" borderId="0" xfId="1" applyFont="1" applyAlignment="1">
      <alignment horizontal="center"/>
    </xf>
    <xf numFmtId="0" fontId="3" fillId="0" borderId="0" xfId="1" applyFont="1"/>
    <xf numFmtId="0" fontId="3" fillId="0" borderId="0" xfId="1" applyFont="1" applyAlignment="1">
      <alignment horizontal="right" vertical="top"/>
    </xf>
    <xf numFmtId="165" fontId="2" fillId="0" borderId="0" xfId="1" applyNumberFormat="1" applyAlignment="1">
      <alignment horizontal="right"/>
    </xf>
    <xf numFmtId="0" fontId="2" fillId="0" borderId="0" xfId="1" applyAlignment="1">
      <alignment horizontal="right"/>
    </xf>
    <xf numFmtId="0" fontId="3" fillId="0" borderId="1" xfId="1" applyFont="1" applyBorder="1"/>
    <xf numFmtId="0" fontId="2" fillId="0" borderId="2" xfId="1" applyBorder="1"/>
    <xf numFmtId="0" fontId="2" fillId="0" borderId="2" xfId="1" applyBorder="1" applyAlignment="1">
      <alignment horizontal="center"/>
    </xf>
    <xf numFmtId="0" fontId="0" fillId="0" borderId="2" xfId="0" applyBorder="1"/>
    <xf numFmtId="0" fontId="0" fillId="0" borderId="3" xfId="0" applyBorder="1"/>
    <xf numFmtId="0" fontId="2" fillId="0" borderId="4" xfId="1" applyBorder="1"/>
    <xf numFmtId="0" fontId="0" fillId="0" borderId="5" xfId="0" applyBorder="1"/>
    <xf numFmtId="0" fontId="0" fillId="0" borderId="4" xfId="0" applyBorder="1"/>
    <xf numFmtId="0" fontId="0" fillId="0" borderId="6" xfId="0" applyBorder="1"/>
    <xf numFmtId="0" fontId="0" fillId="0" borderId="7" xfId="0" applyBorder="1"/>
    <xf numFmtId="0" fontId="0" fillId="0" borderId="8" xfId="0" applyBorder="1"/>
    <xf numFmtId="0" fontId="2" fillId="0" borderId="6" xfId="1" applyBorder="1"/>
    <xf numFmtId="0" fontId="2" fillId="0" borderId="7" xfId="1" applyBorder="1"/>
    <xf numFmtId="0" fontId="2" fillId="0" borderId="7" xfId="1" applyBorder="1" applyAlignment="1">
      <alignment horizontal="right"/>
    </xf>
    <xf numFmtId="0" fontId="2" fillId="0" borderId="7" xfId="1" applyBorder="1" applyAlignment="1">
      <alignment horizontal="center"/>
    </xf>
    <xf numFmtId="0" fontId="2" fillId="2" borderId="0" xfId="1" applyFill="1"/>
    <xf numFmtId="0" fontId="0" fillId="2" borderId="0" xfId="0" applyFill="1"/>
    <xf numFmtId="0" fontId="0" fillId="0" borderId="1" xfId="0" applyBorder="1"/>
    <xf numFmtId="0" fontId="0" fillId="3" borderId="0" xfId="0" applyFill="1"/>
    <xf numFmtId="3" fontId="0" fillId="0" borderId="0" xfId="0" applyNumberFormat="1"/>
    <xf numFmtId="4" fontId="0" fillId="0" borderId="0" xfId="0" applyNumberFormat="1"/>
    <xf numFmtId="0" fontId="5" fillId="0" borderId="0" xfId="0" applyFont="1"/>
    <xf numFmtId="4" fontId="5" fillId="0" borderId="0" xfId="0" applyNumberFormat="1" applyFont="1"/>
    <xf numFmtId="0" fontId="4" fillId="0" borderId="0" xfId="0" applyFont="1" applyAlignment="1">
      <alignment horizontal="center"/>
    </xf>
  </cellXfs>
  <cellStyles count="2">
    <cellStyle name="Normal" xfId="0" builtinId="0"/>
    <cellStyle name="Normal 2" xfId="1" xr:uid="{CA9443F2-DF50-4F94-81A5-BF563329A26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18</xdr:col>
      <xdr:colOff>332510</xdr:colOff>
      <xdr:row>20</xdr:row>
      <xdr:rowOff>152400</xdr:rowOff>
    </xdr:from>
    <xdr:to>
      <xdr:col>28</xdr:col>
      <xdr:colOff>526474</xdr:colOff>
      <xdr:row>39</xdr:row>
      <xdr:rowOff>54742</xdr:rowOff>
    </xdr:to>
    <xdr:pic>
      <xdr:nvPicPr>
        <xdr:cNvPr id="2" name="Picture 1">
          <a:extLst>
            <a:ext uri="{FF2B5EF4-FFF2-40B4-BE49-F238E27FC236}">
              <a16:creationId xmlns:a16="http://schemas.microsoft.com/office/drawing/2014/main" id="{8F500BCF-7FF8-57B4-083D-DF755A02C76E}"/>
            </a:ext>
          </a:extLst>
        </xdr:cNvPr>
        <xdr:cNvPicPr>
          <a:picLocks noChangeAspect="1"/>
        </xdr:cNvPicPr>
      </xdr:nvPicPr>
      <xdr:blipFill>
        <a:blip xmlns:r="http://schemas.openxmlformats.org/officeDocument/2006/relationships" r:embed="rId1"/>
        <a:stretch>
          <a:fillRect/>
        </a:stretch>
      </xdr:blipFill>
      <xdr:spPr>
        <a:xfrm>
          <a:off x="13064837" y="4003964"/>
          <a:ext cx="6289964" cy="3421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15240</xdr:colOff>
      <xdr:row>10</xdr:row>
      <xdr:rowOff>154941</xdr:rowOff>
    </xdr:from>
    <xdr:to>
      <xdr:col>14</xdr:col>
      <xdr:colOff>99226</xdr:colOff>
      <xdr:row>16</xdr:row>
      <xdr:rowOff>20146</xdr:rowOff>
    </xdr:to>
    <xdr:pic>
      <xdr:nvPicPr>
        <xdr:cNvPr id="2" name="Picture 1">
          <a:extLst>
            <a:ext uri="{FF2B5EF4-FFF2-40B4-BE49-F238E27FC236}">
              <a16:creationId xmlns:a16="http://schemas.microsoft.com/office/drawing/2014/main" id="{20C60EC8-161D-45A8-88EB-CED760C7CB8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1435101"/>
          <a:ext cx="1912786" cy="9624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15240</xdr:colOff>
      <xdr:row>10</xdr:row>
      <xdr:rowOff>154941</xdr:rowOff>
    </xdr:from>
    <xdr:to>
      <xdr:col>13</xdr:col>
      <xdr:colOff>99226</xdr:colOff>
      <xdr:row>16</xdr:row>
      <xdr:rowOff>20146</xdr:rowOff>
    </xdr:to>
    <xdr:pic>
      <xdr:nvPicPr>
        <xdr:cNvPr id="3" name="Picture 2">
          <a:extLst>
            <a:ext uri="{FF2B5EF4-FFF2-40B4-BE49-F238E27FC236}">
              <a16:creationId xmlns:a16="http://schemas.microsoft.com/office/drawing/2014/main" id="{3373C136-DB75-4C2A-8973-2DA874754A4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1435101"/>
          <a:ext cx="1912786" cy="9624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15240</xdr:colOff>
      <xdr:row>9</xdr:row>
      <xdr:rowOff>154941</xdr:rowOff>
    </xdr:from>
    <xdr:to>
      <xdr:col>14</xdr:col>
      <xdr:colOff>99226</xdr:colOff>
      <xdr:row>15</xdr:row>
      <xdr:rowOff>20146</xdr:rowOff>
    </xdr:to>
    <xdr:pic>
      <xdr:nvPicPr>
        <xdr:cNvPr id="2" name="Picture 1">
          <a:extLst>
            <a:ext uri="{FF2B5EF4-FFF2-40B4-BE49-F238E27FC236}">
              <a16:creationId xmlns:a16="http://schemas.microsoft.com/office/drawing/2014/main" id="{F06071F6-9C41-486B-A5FB-2E2C4A022EB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1435101"/>
          <a:ext cx="1912786" cy="9624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15240</xdr:colOff>
      <xdr:row>11</xdr:row>
      <xdr:rowOff>154940</xdr:rowOff>
    </xdr:from>
    <xdr:to>
      <xdr:col>15</xdr:col>
      <xdr:colOff>99226</xdr:colOff>
      <xdr:row>16</xdr:row>
      <xdr:rowOff>145154</xdr:rowOff>
    </xdr:to>
    <xdr:pic>
      <xdr:nvPicPr>
        <xdr:cNvPr id="2" name="Picture 1">
          <a:extLst>
            <a:ext uri="{FF2B5EF4-FFF2-40B4-BE49-F238E27FC236}">
              <a16:creationId xmlns:a16="http://schemas.microsoft.com/office/drawing/2014/main" id="{F3166505-C7A0-4455-968B-1E28EAFBA6F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1435100"/>
          <a:ext cx="1912786" cy="9046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15240</xdr:colOff>
      <xdr:row>10</xdr:row>
      <xdr:rowOff>154940</xdr:rowOff>
    </xdr:from>
    <xdr:to>
      <xdr:col>15</xdr:col>
      <xdr:colOff>99226</xdr:colOff>
      <xdr:row>15</xdr:row>
      <xdr:rowOff>145154</xdr:rowOff>
    </xdr:to>
    <xdr:pic>
      <xdr:nvPicPr>
        <xdr:cNvPr id="2" name="Picture 1">
          <a:extLst>
            <a:ext uri="{FF2B5EF4-FFF2-40B4-BE49-F238E27FC236}">
              <a16:creationId xmlns:a16="http://schemas.microsoft.com/office/drawing/2014/main" id="{8E9EA5BA-211D-4230-9E74-45C76EE0C2A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1435100"/>
          <a:ext cx="1912786" cy="9046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15240</xdr:colOff>
      <xdr:row>7</xdr:row>
      <xdr:rowOff>154941</xdr:rowOff>
    </xdr:from>
    <xdr:to>
      <xdr:col>15</xdr:col>
      <xdr:colOff>99226</xdr:colOff>
      <xdr:row>13</xdr:row>
      <xdr:rowOff>20146</xdr:rowOff>
    </xdr:to>
    <xdr:pic>
      <xdr:nvPicPr>
        <xdr:cNvPr id="2" name="Picture 1">
          <a:extLst>
            <a:ext uri="{FF2B5EF4-FFF2-40B4-BE49-F238E27FC236}">
              <a16:creationId xmlns:a16="http://schemas.microsoft.com/office/drawing/2014/main" id="{8A9472EC-4D46-4F1B-844F-383F2B51080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1435101"/>
          <a:ext cx="1912786" cy="9624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15240</xdr:colOff>
      <xdr:row>8</xdr:row>
      <xdr:rowOff>154941</xdr:rowOff>
    </xdr:from>
    <xdr:to>
      <xdr:col>14</xdr:col>
      <xdr:colOff>99226</xdr:colOff>
      <xdr:row>14</xdr:row>
      <xdr:rowOff>20146</xdr:rowOff>
    </xdr:to>
    <xdr:pic>
      <xdr:nvPicPr>
        <xdr:cNvPr id="2" name="Picture 1">
          <a:extLst>
            <a:ext uri="{FF2B5EF4-FFF2-40B4-BE49-F238E27FC236}">
              <a16:creationId xmlns:a16="http://schemas.microsoft.com/office/drawing/2014/main" id="{0E969B52-4F85-48A8-A851-2AB02B4119E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1435101"/>
          <a:ext cx="1912786" cy="96248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15240</xdr:colOff>
      <xdr:row>10</xdr:row>
      <xdr:rowOff>154941</xdr:rowOff>
    </xdr:from>
    <xdr:to>
      <xdr:col>14</xdr:col>
      <xdr:colOff>99226</xdr:colOff>
      <xdr:row>16</xdr:row>
      <xdr:rowOff>20146</xdr:rowOff>
    </xdr:to>
    <xdr:pic>
      <xdr:nvPicPr>
        <xdr:cNvPr id="2" name="Picture 1">
          <a:extLst>
            <a:ext uri="{FF2B5EF4-FFF2-40B4-BE49-F238E27FC236}">
              <a16:creationId xmlns:a16="http://schemas.microsoft.com/office/drawing/2014/main" id="{3382A518-BFD5-4253-ABFE-DF47B7080A2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1435101"/>
          <a:ext cx="1912786" cy="96248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K43"/>
  <sheetViews>
    <sheetView tabSelected="1" zoomScale="55" zoomScaleNormal="55" workbookViewId="0">
      <selection activeCell="D2" sqref="D2"/>
    </sheetView>
  </sheetViews>
  <sheetFormatPr defaultRowHeight="14.4" x14ac:dyDescent="0.3"/>
  <cols>
    <col min="17" max="17" width="26.109375" customWidth="1"/>
    <col min="18" max="18" width="17.33203125" customWidth="1"/>
  </cols>
  <sheetData>
    <row r="1" spans="2:37" ht="33.6" x14ac:dyDescent="0.65">
      <c r="D1" s="37" t="s">
        <v>82</v>
      </c>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row>
    <row r="3" spans="2:37" x14ac:dyDescent="0.3">
      <c r="B3" s="14" t="s">
        <v>20</v>
      </c>
      <c r="C3" s="15"/>
      <c r="D3" s="15"/>
      <c r="E3" s="15"/>
      <c r="F3" s="15"/>
      <c r="G3" s="16"/>
      <c r="H3" s="15"/>
      <c r="I3" s="17"/>
      <c r="J3" s="18"/>
      <c r="K3" s="14" t="s">
        <v>42</v>
      </c>
      <c r="L3" s="15"/>
      <c r="M3" s="15"/>
      <c r="N3" s="15"/>
      <c r="O3" s="15"/>
      <c r="P3" s="16"/>
      <c r="Q3" s="17"/>
      <c r="R3" s="17"/>
      <c r="S3" s="18"/>
      <c r="T3" s="14" t="s">
        <v>55</v>
      </c>
      <c r="U3" s="15"/>
      <c r="V3" s="15"/>
      <c r="W3" s="15"/>
      <c r="X3" s="15"/>
      <c r="Y3" s="17"/>
      <c r="Z3" s="17"/>
      <c r="AA3" s="17"/>
      <c r="AB3" s="18"/>
      <c r="AC3" s="14" t="s">
        <v>62</v>
      </c>
      <c r="AD3" s="15"/>
      <c r="AE3" s="15"/>
      <c r="AF3" s="15"/>
      <c r="AG3" s="15"/>
      <c r="AH3" s="16"/>
      <c r="AI3" s="15"/>
      <c r="AJ3" s="15"/>
      <c r="AK3" s="18"/>
    </row>
    <row r="4" spans="2:37" x14ac:dyDescent="0.3">
      <c r="B4" s="19"/>
      <c r="C4" s="6" t="s">
        <v>22</v>
      </c>
      <c r="D4" s="6"/>
      <c r="E4" s="6"/>
      <c r="F4" s="6"/>
      <c r="G4" s="8"/>
      <c r="H4" s="6"/>
      <c r="J4" s="20"/>
      <c r="K4" s="19"/>
      <c r="L4" s="6" t="s">
        <v>43</v>
      </c>
      <c r="M4" s="6"/>
      <c r="N4" s="6"/>
      <c r="O4" s="6"/>
      <c r="P4" s="8"/>
      <c r="S4" s="20"/>
      <c r="T4" s="19"/>
      <c r="U4" s="6" t="s">
        <v>57</v>
      </c>
      <c r="V4" s="6"/>
      <c r="W4" s="6"/>
      <c r="X4" s="6"/>
      <c r="AB4" s="20"/>
      <c r="AC4" s="19"/>
      <c r="AD4" s="6" t="s">
        <v>63</v>
      </c>
      <c r="AE4" s="6"/>
      <c r="AF4" s="6"/>
      <c r="AG4" s="6"/>
      <c r="AH4" s="8"/>
      <c r="AI4" s="10"/>
      <c r="AJ4" s="6"/>
      <c r="AK4" s="20"/>
    </row>
    <row r="5" spans="2:37" x14ac:dyDescent="0.3">
      <c r="B5" s="19"/>
      <c r="C5" s="6"/>
      <c r="D5" s="6" t="s">
        <v>23</v>
      </c>
      <c r="E5" s="6"/>
      <c r="F5" s="12">
        <v>21.147526279955891</v>
      </c>
      <c r="G5" s="8"/>
      <c r="H5" s="29">
        <v>0</v>
      </c>
      <c r="J5" s="20"/>
      <c r="K5" s="19"/>
      <c r="L5" s="6"/>
      <c r="M5" s="6" t="s">
        <v>44</v>
      </c>
      <c r="N5" s="6"/>
      <c r="O5" s="12">
        <v>13.182666666666668</v>
      </c>
      <c r="P5" s="8"/>
      <c r="Q5" s="30">
        <v>0</v>
      </c>
      <c r="S5" s="20"/>
      <c r="T5" s="19"/>
      <c r="U5" s="6"/>
      <c r="V5" s="6" t="s">
        <v>58</v>
      </c>
      <c r="W5" s="6"/>
      <c r="X5" s="12">
        <v>24.154853566831484</v>
      </c>
      <c r="Z5" s="30">
        <v>0</v>
      </c>
      <c r="AB5" s="20"/>
      <c r="AC5" s="19"/>
      <c r="AD5" s="6"/>
      <c r="AE5" s="6" t="s">
        <v>35</v>
      </c>
      <c r="AF5" s="6"/>
      <c r="AG5" s="12">
        <v>20.801429364136986</v>
      </c>
      <c r="AH5" s="8"/>
      <c r="AI5" s="29">
        <v>0</v>
      </c>
      <c r="AJ5" s="10"/>
      <c r="AK5" s="20"/>
    </row>
    <row r="6" spans="2:37" x14ac:dyDescent="0.3">
      <c r="B6" s="19"/>
      <c r="C6" s="6"/>
      <c r="D6" s="6" t="s">
        <v>24</v>
      </c>
      <c r="E6" s="6"/>
      <c r="F6" s="13">
        <v>6.0977648954785284</v>
      </c>
      <c r="G6" s="8"/>
      <c r="H6" s="6"/>
      <c r="J6" s="20"/>
      <c r="K6" s="19"/>
      <c r="L6" s="6"/>
      <c r="M6" s="6" t="s">
        <v>45</v>
      </c>
      <c r="N6" s="6"/>
      <c r="O6" s="12">
        <v>1.1525984691167996</v>
      </c>
      <c r="P6" s="8"/>
      <c r="S6" s="20"/>
      <c r="T6" s="19"/>
      <c r="U6" s="6"/>
      <c r="V6" s="6" t="s">
        <v>45</v>
      </c>
      <c r="W6" s="6"/>
      <c r="X6" s="12">
        <v>2.0163105872996145</v>
      </c>
      <c r="AB6" s="20"/>
      <c r="AC6" s="19"/>
      <c r="AD6" s="6"/>
      <c r="AE6" s="6" t="s">
        <v>36</v>
      </c>
      <c r="AF6" s="6"/>
      <c r="AG6" s="12">
        <v>36.335306341382761</v>
      </c>
      <c r="AH6" s="8"/>
      <c r="AI6" s="6"/>
      <c r="AJ6" s="6"/>
      <c r="AK6" s="20"/>
    </row>
    <row r="7" spans="2:37" x14ac:dyDescent="0.3">
      <c r="B7" s="21"/>
      <c r="J7" s="20"/>
      <c r="K7" s="19"/>
      <c r="L7" s="6"/>
      <c r="M7" s="6" t="s">
        <v>46</v>
      </c>
      <c r="N7" s="6"/>
      <c r="O7" s="13">
        <v>1</v>
      </c>
      <c r="P7" s="8"/>
      <c r="S7" s="20"/>
      <c r="T7" s="21"/>
      <c r="AB7" s="20"/>
      <c r="AC7" s="19"/>
      <c r="AD7" s="6"/>
      <c r="AE7" s="6" t="s">
        <v>64</v>
      </c>
      <c r="AF7" s="6"/>
      <c r="AG7" s="13">
        <v>0.94629339613510477</v>
      </c>
      <c r="AH7" s="8"/>
      <c r="AI7" s="6"/>
      <c r="AJ7" s="6"/>
      <c r="AK7" s="20"/>
    </row>
    <row r="8" spans="2:37" x14ac:dyDescent="0.3">
      <c r="B8" s="22"/>
      <c r="C8" s="23"/>
      <c r="D8" s="23"/>
      <c r="E8" s="23"/>
      <c r="F8" s="23"/>
      <c r="G8" s="23"/>
      <c r="H8" s="23"/>
      <c r="I8" s="23"/>
      <c r="J8" s="24"/>
      <c r="K8" s="22"/>
      <c r="L8" s="23"/>
      <c r="M8" s="23"/>
      <c r="N8" s="23"/>
      <c r="O8" s="23"/>
      <c r="P8" s="23"/>
      <c r="Q8" s="23"/>
      <c r="R8" s="23"/>
      <c r="S8" s="24"/>
      <c r="T8" s="22"/>
      <c r="U8" s="23"/>
      <c r="V8" s="23"/>
      <c r="W8" s="23"/>
      <c r="X8" s="23"/>
      <c r="Y8" s="23"/>
      <c r="Z8" s="23"/>
      <c r="AA8" s="23"/>
      <c r="AB8" s="24"/>
      <c r="AC8" s="25"/>
      <c r="AD8" s="26"/>
      <c r="AE8" s="26" t="s">
        <v>0</v>
      </c>
      <c r="AF8" s="26"/>
      <c r="AG8" s="27">
        <v>0.64115343364217947</v>
      </c>
      <c r="AH8" s="28"/>
      <c r="AI8" s="26"/>
      <c r="AJ8" s="26"/>
      <c r="AK8" s="24"/>
    </row>
    <row r="9" spans="2:37" x14ac:dyDescent="0.3">
      <c r="AI9" s="6"/>
      <c r="AJ9" s="6"/>
    </row>
    <row r="10" spans="2:37" x14ac:dyDescent="0.3">
      <c r="AI10" s="6"/>
      <c r="AJ10" s="6"/>
    </row>
    <row r="11" spans="2:37" x14ac:dyDescent="0.3">
      <c r="AJ11" s="6"/>
    </row>
    <row r="12" spans="2:37" x14ac:dyDescent="0.3">
      <c r="B12" s="14" t="s">
        <v>68</v>
      </c>
      <c r="C12" s="15"/>
      <c r="D12" s="15"/>
      <c r="E12" s="15"/>
      <c r="F12" s="15"/>
      <c r="G12" s="17"/>
      <c r="H12" s="17"/>
      <c r="I12" s="17"/>
      <c r="J12" s="18"/>
      <c r="K12" s="14" t="s">
        <v>81</v>
      </c>
      <c r="L12" s="15"/>
      <c r="M12" s="15"/>
      <c r="N12" s="15"/>
      <c r="O12" s="15"/>
      <c r="P12" s="17"/>
      <c r="Q12" s="17"/>
      <c r="R12" s="17"/>
      <c r="S12" s="18"/>
      <c r="T12" s="14" t="s">
        <v>71</v>
      </c>
      <c r="U12" s="15"/>
      <c r="V12" s="15"/>
      <c r="W12" s="15"/>
      <c r="X12" s="15"/>
      <c r="Y12" s="17"/>
      <c r="Z12" s="17"/>
      <c r="AA12" s="17"/>
      <c r="AB12" s="18"/>
      <c r="AC12" s="14" t="s">
        <v>76</v>
      </c>
      <c r="AD12" s="15"/>
      <c r="AE12" s="15"/>
      <c r="AF12" s="15"/>
      <c r="AG12" s="15"/>
      <c r="AH12" s="17"/>
      <c r="AI12" s="17"/>
      <c r="AJ12" s="17"/>
      <c r="AK12" s="18"/>
    </row>
    <row r="13" spans="2:37" x14ac:dyDescent="0.3">
      <c r="B13" s="19"/>
      <c r="C13" s="6" t="s">
        <v>63</v>
      </c>
      <c r="D13" s="6"/>
      <c r="E13" s="6"/>
      <c r="F13" s="6"/>
      <c r="J13" s="20"/>
      <c r="K13" s="19"/>
      <c r="L13" s="6" t="s">
        <v>22</v>
      </c>
      <c r="M13" s="6"/>
      <c r="N13" s="6"/>
      <c r="O13" s="6"/>
      <c r="S13" s="20"/>
      <c r="T13" s="19"/>
      <c r="U13" s="6" t="s">
        <v>73</v>
      </c>
      <c r="V13" s="6"/>
      <c r="W13" s="6"/>
      <c r="X13" s="6"/>
      <c r="AB13" s="20"/>
      <c r="AC13" s="19"/>
      <c r="AD13" s="6" t="s">
        <v>77</v>
      </c>
      <c r="AE13" s="6"/>
      <c r="AF13" s="6"/>
      <c r="AG13" s="6"/>
      <c r="AK13" s="20"/>
    </row>
    <row r="14" spans="2:37" x14ac:dyDescent="0.3">
      <c r="B14" s="19"/>
      <c r="C14" s="6"/>
      <c r="D14" s="6" t="s">
        <v>35</v>
      </c>
      <c r="E14" s="6"/>
      <c r="F14" s="12">
        <v>15.228406095411556</v>
      </c>
      <c r="H14" s="30">
        <v>0</v>
      </c>
      <c r="J14" s="20"/>
      <c r="K14" s="19"/>
      <c r="L14" s="6"/>
      <c r="M14" s="6" t="s">
        <v>23</v>
      </c>
      <c r="N14" s="6"/>
      <c r="O14" s="12">
        <v>16.943132960801183</v>
      </c>
      <c r="Q14" s="30">
        <v>0</v>
      </c>
      <c r="S14" s="20"/>
      <c r="T14" s="19"/>
      <c r="U14" s="6"/>
      <c r="V14" s="6" t="s">
        <v>23</v>
      </c>
      <c r="W14" s="6"/>
      <c r="X14" s="12">
        <v>6.1555736766397358</v>
      </c>
      <c r="Z14" s="30">
        <v>0</v>
      </c>
      <c r="AB14" s="20"/>
      <c r="AC14" s="19"/>
      <c r="AD14" s="6"/>
      <c r="AE14" s="6" t="s">
        <v>58</v>
      </c>
      <c r="AF14" s="6"/>
      <c r="AG14" s="12">
        <v>13.506533771896418</v>
      </c>
      <c r="AI14" s="30">
        <v>0</v>
      </c>
      <c r="AK14" s="20"/>
    </row>
    <row r="15" spans="2:37" x14ac:dyDescent="0.3">
      <c r="B15" s="19"/>
      <c r="C15" s="6"/>
      <c r="D15" s="6" t="s">
        <v>36</v>
      </c>
      <c r="E15" s="6"/>
      <c r="F15" s="12">
        <v>19.632976155727626</v>
      </c>
      <c r="J15" s="20"/>
      <c r="K15" s="19"/>
      <c r="L15" s="6"/>
      <c r="M15" s="6" t="s">
        <v>24</v>
      </c>
      <c r="N15" s="6"/>
      <c r="O15" s="13">
        <v>4.8019323407890537</v>
      </c>
      <c r="S15" s="20"/>
      <c r="T15" s="19"/>
      <c r="U15" s="6"/>
      <c r="V15" s="6" t="s">
        <v>45</v>
      </c>
      <c r="W15" s="6"/>
      <c r="X15" s="12">
        <v>5.9893372741495758</v>
      </c>
      <c r="AB15" s="20"/>
      <c r="AC15" s="19"/>
      <c r="AD15" s="6"/>
      <c r="AE15" s="6" t="s">
        <v>45</v>
      </c>
      <c r="AF15" s="6"/>
      <c r="AG15" s="12">
        <v>1.0635779416148987</v>
      </c>
      <c r="AK15" s="20"/>
    </row>
    <row r="16" spans="2:37" x14ac:dyDescent="0.3">
      <c r="B16" s="19"/>
      <c r="C16" s="6"/>
      <c r="D16" s="6" t="s">
        <v>64</v>
      </c>
      <c r="E16" s="6"/>
      <c r="F16" s="13">
        <v>1.2102376303678946</v>
      </c>
      <c r="J16" s="20"/>
      <c r="K16" s="21"/>
      <c r="S16" s="20"/>
      <c r="T16" s="19"/>
      <c r="U16" s="6"/>
      <c r="V16" s="6" t="s">
        <v>24</v>
      </c>
      <c r="W16" s="6"/>
      <c r="X16" s="13">
        <v>3.4231713298482456</v>
      </c>
      <c r="AB16" s="20"/>
      <c r="AC16" s="21"/>
      <c r="AK16" s="20"/>
    </row>
    <row r="17" spans="2:37" x14ac:dyDescent="0.3">
      <c r="B17" s="25"/>
      <c r="C17" s="26"/>
      <c r="D17" s="26" t="s">
        <v>0</v>
      </c>
      <c r="E17" s="26"/>
      <c r="F17" s="27">
        <v>0.5062058572080208</v>
      </c>
      <c r="G17" s="23"/>
      <c r="H17" s="23"/>
      <c r="I17" s="23"/>
      <c r="J17" s="24"/>
      <c r="K17" s="22"/>
      <c r="L17" s="23"/>
      <c r="M17" s="23"/>
      <c r="N17" s="23"/>
      <c r="O17" s="23"/>
      <c r="P17" s="23"/>
      <c r="Q17" s="23"/>
      <c r="R17" s="23"/>
      <c r="S17" s="24"/>
      <c r="T17" s="22"/>
      <c r="U17" s="23"/>
      <c r="V17" s="23"/>
      <c r="W17" s="23"/>
      <c r="X17" s="23"/>
      <c r="Y17" s="23"/>
      <c r="Z17" s="23"/>
      <c r="AA17" s="23"/>
      <c r="AB17" s="24"/>
      <c r="AC17" s="22"/>
      <c r="AD17" s="23"/>
      <c r="AE17" s="23"/>
      <c r="AF17" s="23"/>
      <c r="AG17" s="23"/>
      <c r="AH17" s="23"/>
      <c r="AI17" s="23"/>
      <c r="AJ17" s="23"/>
      <c r="AK17" s="24"/>
    </row>
    <row r="21" spans="2:37" x14ac:dyDescent="0.3">
      <c r="P21" s="31"/>
      <c r="Q21" s="17"/>
      <c r="R21" s="17"/>
      <c r="S21" s="17"/>
      <c r="T21" s="17"/>
      <c r="U21" s="17"/>
      <c r="V21" s="17"/>
      <c r="W21" s="17"/>
      <c r="X21" s="17"/>
      <c r="Y21" s="17"/>
      <c r="Z21" s="17"/>
      <c r="AA21" s="17"/>
      <c r="AB21" s="17"/>
      <c r="AC21" s="17"/>
      <c r="AD21" s="18"/>
    </row>
    <row r="22" spans="2:37" x14ac:dyDescent="0.3">
      <c r="P22" s="21"/>
      <c r="Q22" s="32" t="e">
        <f>28800/MAX(H5,Q5,Z5,AI5,H14,Q14,Z14,AI14)</f>
        <v>#DIV/0!</v>
      </c>
      <c r="AD22" s="20"/>
    </row>
    <row r="23" spans="2:37" x14ac:dyDescent="0.3">
      <c r="P23" s="21"/>
      <c r="Q23" t="s">
        <v>25</v>
      </c>
      <c r="R23" s="33">
        <v>5000</v>
      </c>
      <c r="AD23" s="20"/>
    </row>
    <row r="24" spans="2:37" x14ac:dyDescent="0.3">
      <c r="P24" s="21"/>
      <c r="Q24" t="s">
        <v>26</v>
      </c>
      <c r="R24" s="34">
        <v>1001.98</v>
      </c>
      <c r="AD24" s="20"/>
    </row>
    <row r="25" spans="2:37" ht="15.6" x14ac:dyDescent="0.3">
      <c r="P25" s="21"/>
      <c r="Q25" s="35" t="s">
        <v>27</v>
      </c>
      <c r="R25" s="35">
        <v>913.44</v>
      </c>
      <c r="AD25" s="20"/>
    </row>
    <row r="26" spans="2:37" ht="15.6" x14ac:dyDescent="0.3">
      <c r="P26" s="21"/>
      <c r="Q26" s="35" t="s">
        <v>28</v>
      </c>
      <c r="R26" s="35">
        <v>896.03</v>
      </c>
      <c r="AD26" s="20"/>
    </row>
    <row r="27" spans="2:37" ht="15.6" x14ac:dyDescent="0.3">
      <c r="P27" s="21"/>
      <c r="Q27" s="35" t="s">
        <v>29</v>
      </c>
      <c r="R27" s="35">
        <v>224.22</v>
      </c>
      <c r="AD27" s="20"/>
    </row>
    <row r="28" spans="2:37" ht="15.6" x14ac:dyDescent="0.3">
      <c r="P28" s="21"/>
      <c r="Q28" s="35" t="s">
        <v>30</v>
      </c>
      <c r="R28" s="35">
        <v>146.82</v>
      </c>
      <c r="AD28" s="20"/>
    </row>
    <row r="29" spans="2:37" x14ac:dyDescent="0.3">
      <c r="P29" s="21"/>
      <c r="Q29" t="s">
        <v>31</v>
      </c>
      <c r="R29" s="34">
        <v>21557.54</v>
      </c>
      <c r="AD29" s="20"/>
    </row>
    <row r="30" spans="2:37" x14ac:dyDescent="0.3">
      <c r="P30" s="21"/>
      <c r="Q30" t="s">
        <v>32</v>
      </c>
      <c r="R30">
        <v>-0.50139999999999996</v>
      </c>
      <c r="AD30" s="20"/>
    </row>
    <row r="31" spans="2:37" x14ac:dyDescent="0.3">
      <c r="P31" s="21"/>
      <c r="Q31" t="s">
        <v>33</v>
      </c>
      <c r="R31">
        <v>5.27</v>
      </c>
      <c r="AD31" s="20"/>
    </row>
    <row r="32" spans="2:37" x14ac:dyDescent="0.3">
      <c r="P32" s="21"/>
      <c r="Q32" t="s">
        <v>34</v>
      </c>
      <c r="R32">
        <v>0.16070000000000001</v>
      </c>
      <c r="AD32" s="20"/>
    </row>
    <row r="33" spans="16:30" ht="15.6" x14ac:dyDescent="0.3">
      <c r="P33" s="21"/>
      <c r="Q33" s="35" t="s">
        <v>35</v>
      </c>
      <c r="R33" s="35">
        <v>224.22</v>
      </c>
      <c r="AD33" s="20"/>
    </row>
    <row r="34" spans="16:30" ht="15.6" x14ac:dyDescent="0.3">
      <c r="P34" s="21"/>
      <c r="Q34" s="35" t="s">
        <v>36</v>
      </c>
      <c r="R34" s="36">
        <v>1337.31</v>
      </c>
      <c r="AD34" s="20"/>
    </row>
    <row r="35" spans="16:30" ht="15.6" x14ac:dyDescent="0.3">
      <c r="P35" s="21"/>
      <c r="Q35" s="35" t="s">
        <v>37</v>
      </c>
      <c r="R35" s="35">
        <v>2.08</v>
      </c>
      <c r="AD35" s="20"/>
    </row>
    <row r="36" spans="16:30" x14ac:dyDescent="0.3">
      <c r="P36" s="21"/>
      <c r="AD36" s="20"/>
    </row>
    <row r="37" spans="16:30" x14ac:dyDescent="0.3">
      <c r="P37" s="21"/>
      <c r="AD37" s="20"/>
    </row>
    <row r="38" spans="16:30" x14ac:dyDescent="0.3">
      <c r="P38" s="21"/>
      <c r="AD38" s="20"/>
    </row>
    <row r="39" spans="16:30" x14ac:dyDescent="0.3">
      <c r="P39" s="21"/>
      <c r="AD39" s="20"/>
    </row>
    <row r="40" spans="16:30" x14ac:dyDescent="0.3">
      <c r="P40" s="21"/>
      <c r="AD40" s="20"/>
    </row>
    <row r="41" spans="16:30" x14ac:dyDescent="0.3">
      <c r="P41" s="21"/>
      <c r="AD41" s="20"/>
    </row>
    <row r="42" spans="16:30" x14ac:dyDescent="0.3">
      <c r="P42" s="21"/>
      <c r="AD42" s="20"/>
    </row>
    <row r="43" spans="16:30" x14ac:dyDescent="0.3">
      <c r="P43" s="22"/>
      <c r="Q43" s="23"/>
      <c r="R43" s="23"/>
      <c r="S43" s="23"/>
      <c r="T43" s="23"/>
      <c r="U43" s="23"/>
      <c r="V43" s="23"/>
      <c r="W43" s="23"/>
      <c r="X43" s="23"/>
      <c r="Y43" s="23"/>
      <c r="Z43" s="23"/>
      <c r="AA43" s="23"/>
      <c r="AB43" s="23"/>
      <c r="AC43" s="23"/>
      <c r="AD43" s="24"/>
    </row>
  </sheetData>
  <mergeCells count="1">
    <mergeCell ref="D1:AG1"/>
  </mergeCells>
  <pageMargins left="0.7" right="0.7" top="0.75" bottom="0.75" header="0.3" footer="0.3"/>
  <pageSetup paperSize="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34878-106D-4BBB-8A48-3FD2F432E07D}">
  <dimension ref="A1:P31"/>
  <sheetViews>
    <sheetView workbookViewId="0"/>
  </sheetViews>
  <sheetFormatPr defaultRowHeight="14.4" x14ac:dyDescent="0.3"/>
  <cols>
    <col min="1" max="10" width="36.77734375" customWidth="1"/>
  </cols>
  <sheetData>
    <row r="1" spans="1:16" x14ac:dyDescent="0.3">
      <c r="A1" s="1" t="s">
        <v>1</v>
      </c>
    </row>
    <row r="2" spans="1:16" x14ac:dyDescent="0.3">
      <c r="P2" t="e">
        <f ca="1">_xll.CB.RecalcCounterFN()</f>
        <v>#NAME?</v>
      </c>
    </row>
    <row r="3" spans="1:16" x14ac:dyDescent="0.3">
      <c r="A3" t="s">
        <v>2</v>
      </c>
      <c r="B3" t="s">
        <v>3</v>
      </c>
      <c r="C3">
        <v>0</v>
      </c>
    </row>
    <row r="4" spans="1:16" x14ac:dyDescent="0.3">
      <c r="A4" t="s">
        <v>4</v>
      </c>
    </row>
    <row r="5" spans="1:16" x14ac:dyDescent="0.3">
      <c r="A5" t="s">
        <v>5</v>
      </c>
    </row>
    <row r="7" spans="1:16" x14ac:dyDescent="0.3">
      <c r="A7" s="1" t="s">
        <v>6</v>
      </c>
      <c r="B7" t="s">
        <v>7</v>
      </c>
    </row>
    <row r="8" spans="1:16" x14ac:dyDescent="0.3">
      <c r="B8">
        <v>10</v>
      </c>
    </row>
    <row r="10" spans="1:16" x14ac:dyDescent="0.3">
      <c r="A10" t="s">
        <v>8</v>
      </c>
    </row>
    <row r="11" spans="1:16" x14ac:dyDescent="0.3">
      <c r="A11" t="e">
        <f>CB_DATA_!#REF!</f>
        <v>#REF!</v>
      </c>
      <c r="B11" t="e">
        <f>'1.0_1. tán_co_terminal'!#REF!</f>
        <v>#REF!</v>
      </c>
      <c r="C11" t="e">
        <f>'1.1_2. Housing_top_lò_xo'!#REF!</f>
        <v>#REF!</v>
      </c>
      <c r="D11" t="e">
        <f>'1.2_3. lắp_dao,_bắn_vít'!#REF!</f>
        <v>#REF!</v>
      </c>
      <c r="E11" t="e">
        <f>'1.3_4. cắm_vào_hipot,_bỏ_'!#REF!</f>
        <v>#REF!</v>
      </c>
      <c r="F11" t="e">
        <f>'1.4_5. xịt,_lắp_chèn,_dâ'!#REF!</f>
        <v>#REF!</v>
      </c>
      <c r="G11" t="e">
        <f>'1.6_7. bỏ_color_box,_dán_ke'!#REF!</f>
        <v>#REF!</v>
      </c>
      <c r="H11" t="e">
        <f>'1.7_8. master_carton,_keo'!#REF!</f>
        <v>#REF!</v>
      </c>
      <c r="I11" t="e">
        <f>'1.5_6. luồn_hdpe,_hộp_nhu'!#REF!</f>
        <v>#REF!</v>
      </c>
      <c r="J11" t="e">
        <f>'1'!#REF!</f>
        <v>#REF!</v>
      </c>
    </row>
    <row r="13" spans="1:16" x14ac:dyDescent="0.3">
      <c r="A13" t="s">
        <v>9</v>
      </c>
    </row>
    <row r="14" spans="1:16" x14ac:dyDescent="0.3">
      <c r="A14" t="s">
        <v>13</v>
      </c>
      <c r="B14" t="s">
        <v>17</v>
      </c>
      <c r="C14" t="s">
        <v>40</v>
      </c>
      <c r="D14" t="s">
        <v>53</v>
      </c>
      <c r="E14" t="s">
        <v>60</v>
      </c>
      <c r="F14" t="s">
        <v>66</v>
      </c>
      <c r="G14" t="s">
        <v>70</v>
      </c>
      <c r="H14" t="s">
        <v>74</v>
      </c>
      <c r="I14" t="s">
        <v>79</v>
      </c>
      <c r="J14" t="s">
        <v>83</v>
      </c>
    </row>
    <row r="16" spans="1:16" x14ac:dyDescent="0.3">
      <c r="A16" t="s">
        <v>10</v>
      </c>
    </row>
    <row r="19" spans="1:10" x14ac:dyDescent="0.3">
      <c r="A19" t="s">
        <v>11</v>
      </c>
    </row>
    <row r="20" spans="1:10" x14ac:dyDescent="0.3">
      <c r="A20">
        <v>28</v>
      </c>
      <c r="B20">
        <v>31</v>
      </c>
      <c r="C20">
        <v>31</v>
      </c>
      <c r="D20">
        <v>31</v>
      </c>
      <c r="E20">
        <v>31</v>
      </c>
      <c r="F20">
        <v>31</v>
      </c>
      <c r="G20">
        <v>26</v>
      </c>
      <c r="H20">
        <v>31</v>
      </c>
      <c r="I20">
        <v>31</v>
      </c>
      <c r="J20">
        <v>31</v>
      </c>
    </row>
    <row r="25" spans="1:10" x14ac:dyDescent="0.3">
      <c r="A25" s="1" t="s">
        <v>12</v>
      </c>
    </row>
    <row r="26" spans="1:10" x14ac:dyDescent="0.3">
      <c r="A26" s="4" t="s">
        <v>14</v>
      </c>
      <c r="B26" s="4" t="s">
        <v>18</v>
      </c>
      <c r="C26" s="4" t="s">
        <v>18</v>
      </c>
      <c r="D26" s="4" t="s">
        <v>18</v>
      </c>
      <c r="E26" s="4" t="s">
        <v>18</v>
      </c>
      <c r="F26" s="4" t="s">
        <v>18</v>
      </c>
      <c r="H26" s="4" t="s">
        <v>18</v>
      </c>
      <c r="I26" s="4" t="s">
        <v>18</v>
      </c>
      <c r="J26" s="4" t="s">
        <v>18</v>
      </c>
    </row>
    <row r="27" spans="1:10" x14ac:dyDescent="0.3">
      <c r="A27" t="s">
        <v>15</v>
      </c>
      <c r="B27" t="s">
        <v>47</v>
      </c>
      <c r="C27" t="s">
        <v>50</v>
      </c>
      <c r="D27" t="s">
        <v>54</v>
      </c>
      <c r="E27" t="s">
        <v>61</v>
      </c>
      <c r="F27" t="s">
        <v>67</v>
      </c>
      <c r="H27" t="s">
        <v>75</v>
      </c>
      <c r="I27" t="s">
        <v>80</v>
      </c>
      <c r="J27" t="s">
        <v>86</v>
      </c>
    </row>
    <row r="28" spans="1:10" x14ac:dyDescent="0.3">
      <c r="A28" s="4" t="s">
        <v>16</v>
      </c>
      <c r="B28" s="4" t="s">
        <v>16</v>
      </c>
      <c r="C28" s="4" t="s">
        <v>16</v>
      </c>
      <c r="D28" s="4" t="s">
        <v>16</v>
      </c>
      <c r="E28" s="4" t="s">
        <v>16</v>
      </c>
      <c r="F28" s="4" t="s">
        <v>16</v>
      </c>
      <c r="H28" s="4" t="s">
        <v>16</v>
      </c>
      <c r="I28" s="4" t="s">
        <v>16</v>
      </c>
      <c r="J28" s="4" t="s">
        <v>16</v>
      </c>
    </row>
    <row r="29" spans="1:10" x14ac:dyDescent="0.3">
      <c r="B29" s="4" t="s">
        <v>14</v>
      </c>
      <c r="C29" s="4" t="s">
        <v>14</v>
      </c>
      <c r="D29" s="4" t="s">
        <v>14</v>
      </c>
      <c r="E29" s="4" t="s">
        <v>14</v>
      </c>
      <c r="F29" s="4" t="s">
        <v>14</v>
      </c>
      <c r="H29" s="4" t="s">
        <v>14</v>
      </c>
      <c r="I29" s="4" t="s">
        <v>14</v>
      </c>
      <c r="J29" s="4" t="s">
        <v>14</v>
      </c>
    </row>
    <row r="30" spans="1:10" x14ac:dyDescent="0.3">
      <c r="B30" t="s">
        <v>39</v>
      </c>
      <c r="C30" t="s">
        <v>41</v>
      </c>
      <c r="D30" t="s">
        <v>59</v>
      </c>
      <c r="E30" t="s">
        <v>65</v>
      </c>
      <c r="F30" t="s">
        <v>69</v>
      </c>
      <c r="H30" t="s">
        <v>78</v>
      </c>
      <c r="I30" t="s">
        <v>85</v>
      </c>
      <c r="J30" t="s">
        <v>84</v>
      </c>
    </row>
    <row r="31" spans="1:10" x14ac:dyDescent="0.3">
      <c r="B31" s="4" t="s">
        <v>16</v>
      </c>
      <c r="C31" s="4" t="s">
        <v>16</v>
      </c>
      <c r="D31" s="4" t="s">
        <v>16</v>
      </c>
      <c r="E31" s="4" t="s">
        <v>16</v>
      </c>
      <c r="F31" s="4" t="s">
        <v>16</v>
      </c>
      <c r="H31" s="4" t="s">
        <v>16</v>
      </c>
      <c r="I31" s="4" t="s">
        <v>16</v>
      </c>
      <c r="J31" s="4"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
  <sheetViews>
    <sheetView workbookViewId="0">
      <selection activeCell="E7" sqref="E7:K13"/>
    </sheetView>
  </sheetViews>
  <sheetFormatPr defaultRowHeight="14.4" x14ac:dyDescent="0.3"/>
  <cols>
    <col min="4" max="5" width="15.77734375" bestFit="1" customWidth="1"/>
    <col min="6" max="6" width="6.5546875" bestFit="1" customWidth="1"/>
  </cols>
  <sheetData>
    <row r="1" spans="1:14" x14ac:dyDescent="0.3">
      <c r="A1">
        <v>1</v>
      </c>
      <c r="B1">
        <v>28.27</v>
      </c>
    </row>
    <row r="2" spans="1:14" x14ac:dyDescent="0.3">
      <c r="A2">
        <v>2</v>
      </c>
      <c r="B2">
        <v>23.78</v>
      </c>
    </row>
    <row r="3" spans="1:14" x14ac:dyDescent="0.3">
      <c r="A3">
        <v>3</v>
      </c>
      <c r="B3">
        <v>21.68</v>
      </c>
      <c r="D3" s="1"/>
      <c r="E3" s="2"/>
    </row>
    <row r="4" spans="1:14" x14ac:dyDescent="0.3">
      <c r="A4">
        <v>4</v>
      </c>
      <c r="B4">
        <v>24.16</v>
      </c>
      <c r="D4" s="1"/>
      <c r="E4" s="6"/>
      <c r="F4" s="6"/>
      <c r="G4" s="6"/>
      <c r="H4" s="6"/>
      <c r="I4" s="6"/>
      <c r="J4" s="9" t="s">
        <v>19</v>
      </c>
      <c r="K4" s="6"/>
      <c r="L4" s="6"/>
      <c r="M4" s="6"/>
      <c r="N4" s="7"/>
    </row>
    <row r="5" spans="1:14" x14ac:dyDescent="0.3">
      <c r="A5">
        <v>5</v>
      </c>
      <c r="B5">
        <v>34.479999999999997</v>
      </c>
      <c r="D5" s="1"/>
      <c r="E5" s="6"/>
      <c r="F5" s="6"/>
      <c r="G5" s="6"/>
      <c r="H5" s="6"/>
      <c r="I5" s="6"/>
      <c r="J5" s="8"/>
      <c r="K5" s="6"/>
      <c r="L5" s="6"/>
      <c r="M5" s="6"/>
      <c r="N5" s="7"/>
    </row>
    <row r="6" spans="1:14" x14ac:dyDescent="0.3">
      <c r="A6">
        <v>6</v>
      </c>
      <c r="B6">
        <v>21.38</v>
      </c>
      <c r="D6" s="1"/>
      <c r="E6" s="6"/>
      <c r="F6" s="6"/>
      <c r="G6" s="6"/>
      <c r="H6" s="6"/>
      <c r="I6" s="6"/>
      <c r="J6" s="8"/>
      <c r="K6" s="6"/>
      <c r="L6" s="6"/>
      <c r="M6" s="6"/>
      <c r="N6" s="7"/>
    </row>
    <row r="7" spans="1:14" x14ac:dyDescent="0.3">
      <c r="A7">
        <v>7</v>
      </c>
      <c r="B7">
        <v>24.73</v>
      </c>
      <c r="D7" s="1"/>
      <c r="E7" s="10" t="s">
        <v>20</v>
      </c>
      <c r="F7" s="6"/>
      <c r="G7" s="6"/>
      <c r="H7" s="6"/>
      <c r="I7" s="6"/>
      <c r="J7" s="8"/>
      <c r="K7" s="6"/>
      <c r="L7" s="6"/>
      <c r="M7" s="6"/>
      <c r="N7" s="7"/>
    </row>
    <row r="8" spans="1:14" x14ac:dyDescent="0.3">
      <c r="A8">
        <v>8</v>
      </c>
      <c r="B8">
        <v>21.49</v>
      </c>
      <c r="E8" s="6"/>
      <c r="F8" s="6"/>
      <c r="G8" s="6"/>
      <c r="H8" s="6"/>
      <c r="I8" s="6"/>
      <c r="J8" s="8"/>
      <c r="K8" s="6"/>
      <c r="L8" s="6"/>
      <c r="M8" s="6"/>
      <c r="N8" s="7"/>
    </row>
    <row r="9" spans="1:14" x14ac:dyDescent="0.3">
      <c r="A9">
        <v>9</v>
      </c>
      <c r="B9">
        <v>28.27</v>
      </c>
      <c r="E9" s="10" t="s">
        <v>48</v>
      </c>
      <c r="F9" s="10"/>
      <c r="G9" s="10"/>
      <c r="H9" s="10"/>
      <c r="I9" s="10"/>
      <c r="J9" s="9"/>
      <c r="K9" s="10"/>
      <c r="L9" s="10"/>
      <c r="M9" s="10"/>
      <c r="N9" s="11" t="s">
        <v>49</v>
      </c>
    </row>
    <row r="10" spans="1:14" x14ac:dyDescent="0.3">
      <c r="A10">
        <v>10</v>
      </c>
      <c r="B10">
        <v>23.78</v>
      </c>
      <c r="E10" s="6"/>
      <c r="F10" s="6"/>
      <c r="G10" s="6"/>
      <c r="H10" s="6"/>
      <c r="I10" s="6"/>
      <c r="J10" s="8"/>
      <c r="K10" s="6"/>
      <c r="L10" s="6"/>
      <c r="M10" s="6"/>
      <c r="N10" s="7"/>
    </row>
    <row r="11" spans="1:14" x14ac:dyDescent="0.3">
      <c r="A11">
        <v>11</v>
      </c>
      <c r="B11">
        <v>21.68</v>
      </c>
      <c r="E11" s="6"/>
      <c r="F11" s="6" t="s">
        <v>22</v>
      </c>
      <c r="G11" s="6"/>
      <c r="H11" s="6"/>
      <c r="I11" s="6"/>
      <c r="J11" s="8"/>
      <c r="K11" s="6"/>
      <c r="L11" s="6"/>
      <c r="M11" s="6"/>
      <c r="N11" s="7"/>
    </row>
    <row r="12" spans="1:14" x14ac:dyDescent="0.3">
      <c r="A12">
        <v>12</v>
      </c>
      <c r="B12">
        <v>24.16</v>
      </c>
      <c r="E12" s="6"/>
      <c r="F12" s="6"/>
      <c r="G12" s="6" t="s">
        <v>23</v>
      </c>
      <c r="H12" s="6"/>
      <c r="I12" s="12">
        <v>21.147526279955891</v>
      </c>
      <c r="J12" s="8"/>
      <c r="K12" s="6"/>
      <c r="L12" s="6"/>
      <c r="M12" s="6"/>
      <c r="N12" s="7"/>
    </row>
    <row r="13" spans="1:14" x14ac:dyDescent="0.3">
      <c r="A13">
        <v>13</v>
      </c>
      <c r="B13">
        <v>34.479999999999997</v>
      </c>
      <c r="E13" s="6"/>
      <c r="F13" s="6"/>
      <c r="G13" s="6" t="s">
        <v>24</v>
      </c>
      <c r="H13" s="6"/>
      <c r="I13" s="13">
        <v>6.0977648954785284</v>
      </c>
      <c r="J13" s="8"/>
      <c r="K13" s="6"/>
      <c r="L13" s="6"/>
      <c r="M13" s="6"/>
      <c r="N13" s="7"/>
    </row>
    <row r="14" spans="1:14" x14ac:dyDescent="0.3">
      <c r="A14">
        <v>14</v>
      </c>
      <c r="B14">
        <v>21.38</v>
      </c>
      <c r="E14" s="6"/>
      <c r="F14" s="6"/>
      <c r="G14" s="6"/>
      <c r="H14" s="6"/>
      <c r="I14" s="13"/>
      <c r="J14" s="8"/>
      <c r="K14" s="6"/>
      <c r="L14" s="6"/>
      <c r="M14" s="6"/>
      <c r="N14" s="7"/>
    </row>
    <row r="15" spans="1:14" x14ac:dyDescent="0.3">
      <c r="A15">
        <v>15</v>
      </c>
      <c r="B15">
        <v>24.73</v>
      </c>
      <c r="E15" s="6"/>
      <c r="F15" s="6"/>
      <c r="G15" s="6"/>
      <c r="H15" s="6"/>
      <c r="I15" s="13"/>
      <c r="J15" s="8"/>
      <c r="K15" s="6"/>
      <c r="L15" s="6"/>
      <c r="M15" s="6"/>
      <c r="N15" s="7"/>
    </row>
    <row r="16" spans="1:14" x14ac:dyDescent="0.3">
      <c r="E16" s="6"/>
      <c r="F16" s="6"/>
      <c r="G16" s="6"/>
      <c r="H16" s="6"/>
      <c r="I16" s="6"/>
      <c r="J16" s="8"/>
      <c r="K16" s="6"/>
      <c r="L16" s="6"/>
      <c r="M16" s="6"/>
      <c r="N16" s="7"/>
    </row>
    <row r="17" spans="5:14" x14ac:dyDescent="0.3">
      <c r="E17" s="6"/>
      <c r="F17" s="6"/>
      <c r="G17" s="6"/>
      <c r="H17" s="6"/>
      <c r="I17" s="6"/>
      <c r="J17" s="8"/>
      <c r="K17" s="6"/>
      <c r="L17" s="6"/>
      <c r="M17" s="6"/>
      <c r="N17" s="7"/>
    </row>
    <row r="18" spans="5:14" x14ac:dyDescent="0.3">
      <c r="E18" s="6"/>
      <c r="F18" s="6"/>
      <c r="G18" s="6"/>
      <c r="H18" s="6"/>
      <c r="I18" s="6"/>
      <c r="J18" s="8"/>
      <c r="K18" s="6"/>
      <c r="L18" s="6"/>
      <c r="M18" s="6"/>
      <c r="N18" s="7"/>
    </row>
    <row r="19" spans="5:14" x14ac:dyDescent="0.3">
      <c r="E19" s="6"/>
      <c r="F19" s="6"/>
      <c r="G19" s="6"/>
      <c r="H19" s="6"/>
      <c r="I19" s="6"/>
      <c r="J19" s="8"/>
      <c r="K19" s="6"/>
      <c r="L19" s="6"/>
      <c r="M19" s="6"/>
      <c r="N19" s="7"/>
    </row>
    <row r="20" spans="5:14" x14ac:dyDescent="0.3">
      <c r="E20" s="6" t="s">
        <v>38</v>
      </c>
      <c r="F20" s="6"/>
      <c r="G20" s="6"/>
      <c r="H20" s="6"/>
      <c r="I20" s="6"/>
      <c r="J20" s="8"/>
      <c r="K20" s="6"/>
      <c r="L20" s="6"/>
      <c r="M20" s="6"/>
      <c r="N20" s="7"/>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1"/>
  <sheetViews>
    <sheetView workbookViewId="0">
      <selection activeCell="D7" sqref="D7:I14"/>
    </sheetView>
  </sheetViews>
  <sheetFormatPr defaultRowHeight="14.4" x14ac:dyDescent="0.3"/>
  <cols>
    <col min="1" max="1" width="15.77734375" bestFit="1" customWidth="1"/>
    <col min="2" max="2" width="9.5546875" bestFit="1" customWidth="1"/>
    <col min="4" max="5" width="15.77734375" bestFit="1" customWidth="1"/>
    <col min="6" max="6" width="9.5546875" bestFit="1" customWidth="1"/>
  </cols>
  <sheetData>
    <row r="1" spans="1:13" x14ac:dyDescent="0.3">
      <c r="A1">
        <v>1</v>
      </c>
      <c r="B1">
        <v>8.39</v>
      </c>
    </row>
    <row r="2" spans="1:13" x14ac:dyDescent="0.3">
      <c r="A2">
        <v>2</v>
      </c>
      <c r="B2">
        <v>16.73</v>
      </c>
    </row>
    <row r="3" spans="1:13" x14ac:dyDescent="0.3">
      <c r="A3">
        <v>3</v>
      </c>
      <c r="B3">
        <v>13.37</v>
      </c>
      <c r="D3" s="1"/>
      <c r="E3" s="2"/>
    </row>
    <row r="4" spans="1:13" x14ac:dyDescent="0.3">
      <c r="A4">
        <v>4</v>
      </c>
      <c r="B4">
        <v>14.55</v>
      </c>
      <c r="D4" s="6"/>
      <c r="E4" s="6"/>
      <c r="F4" s="6"/>
      <c r="G4" s="6"/>
      <c r="H4" s="6"/>
      <c r="I4" s="9" t="s">
        <v>19</v>
      </c>
      <c r="J4" s="6"/>
      <c r="K4" s="6"/>
      <c r="L4" s="6"/>
      <c r="M4" s="7"/>
    </row>
    <row r="5" spans="1:13" x14ac:dyDescent="0.3">
      <c r="A5">
        <v>5</v>
      </c>
      <c r="B5">
        <v>12.02</v>
      </c>
      <c r="D5" s="6"/>
      <c r="E5" s="6"/>
      <c r="F5" s="6"/>
      <c r="G5" s="6"/>
      <c r="H5" s="6"/>
      <c r="I5" s="8"/>
      <c r="J5" s="6"/>
      <c r="K5" s="6"/>
      <c r="L5" s="6"/>
      <c r="M5" s="7"/>
    </row>
    <row r="6" spans="1:13" x14ac:dyDescent="0.3">
      <c r="A6">
        <v>6</v>
      </c>
      <c r="B6">
        <v>13.48</v>
      </c>
      <c r="D6" s="6"/>
      <c r="E6" s="6"/>
      <c r="F6" s="6"/>
      <c r="G6" s="6"/>
      <c r="H6" s="6"/>
      <c r="I6" s="8"/>
      <c r="J6" s="6"/>
      <c r="K6" s="6"/>
      <c r="L6" s="6"/>
      <c r="M6" s="7"/>
    </row>
    <row r="7" spans="1:13" x14ac:dyDescent="0.3">
      <c r="A7">
        <v>7</v>
      </c>
      <c r="B7">
        <v>13.59</v>
      </c>
      <c r="D7" s="10" t="s">
        <v>42</v>
      </c>
      <c r="E7" s="6"/>
      <c r="F7" s="6"/>
      <c r="G7" s="6"/>
      <c r="H7" s="6"/>
      <c r="I7" s="8"/>
      <c r="J7" s="6"/>
      <c r="K7" s="6"/>
      <c r="L7" s="6"/>
      <c r="M7" s="7"/>
    </row>
    <row r="8" spans="1:13" x14ac:dyDescent="0.3">
      <c r="A8">
        <v>8</v>
      </c>
      <c r="B8">
        <v>8.39</v>
      </c>
      <c r="D8" s="6"/>
      <c r="E8" s="6"/>
      <c r="F8" s="6"/>
      <c r="G8" s="6"/>
      <c r="H8" s="6"/>
      <c r="I8" s="8"/>
      <c r="J8" s="6"/>
      <c r="K8" s="6"/>
      <c r="L8" s="6"/>
      <c r="M8" s="7"/>
    </row>
    <row r="9" spans="1:13" x14ac:dyDescent="0.3">
      <c r="A9">
        <v>9</v>
      </c>
      <c r="B9">
        <v>16.73</v>
      </c>
      <c r="D9" s="10" t="s">
        <v>51</v>
      </c>
      <c r="E9" s="10"/>
      <c r="F9" s="10"/>
      <c r="G9" s="10"/>
      <c r="H9" s="10"/>
      <c r="I9" s="9"/>
      <c r="J9" s="10"/>
      <c r="K9" s="10"/>
      <c r="L9" s="10"/>
      <c r="M9" s="11" t="s">
        <v>52</v>
      </c>
    </row>
    <row r="10" spans="1:13" x14ac:dyDescent="0.3">
      <c r="A10">
        <v>10</v>
      </c>
      <c r="B10">
        <v>13.37</v>
      </c>
      <c r="D10" s="6"/>
      <c r="E10" s="6"/>
      <c r="F10" s="6"/>
      <c r="G10" s="6"/>
      <c r="H10" s="6"/>
      <c r="I10" s="8"/>
      <c r="J10" s="6"/>
      <c r="K10" s="6"/>
      <c r="L10" s="6"/>
      <c r="M10" s="7"/>
    </row>
    <row r="11" spans="1:13" x14ac:dyDescent="0.3">
      <c r="A11">
        <v>11</v>
      </c>
      <c r="B11">
        <v>14.55</v>
      </c>
      <c r="D11" s="6"/>
      <c r="E11" s="6" t="s">
        <v>43</v>
      </c>
      <c r="F11" s="6"/>
      <c r="G11" s="6"/>
      <c r="H11" s="6"/>
      <c r="I11" s="8"/>
      <c r="J11" s="6"/>
      <c r="K11" s="6"/>
      <c r="L11" s="6"/>
      <c r="M11" s="7"/>
    </row>
    <row r="12" spans="1:13" x14ac:dyDescent="0.3">
      <c r="A12">
        <v>12</v>
      </c>
      <c r="B12">
        <v>12.02</v>
      </c>
      <c r="D12" s="6"/>
      <c r="E12" s="6"/>
      <c r="F12" s="6" t="s">
        <v>44</v>
      </c>
      <c r="G12" s="6"/>
      <c r="H12" s="12">
        <v>13.182666666666668</v>
      </c>
      <c r="I12" s="8"/>
      <c r="J12" s="6"/>
      <c r="K12" s="6"/>
      <c r="L12" s="6"/>
      <c r="M12" s="7"/>
    </row>
    <row r="13" spans="1:13" x14ac:dyDescent="0.3">
      <c r="A13">
        <v>13</v>
      </c>
      <c r="B13">
        <v>13.48</v>
      </c>
      <c r="D13" s="6"/>
      <c r="E13" s="6"/>
      <c r="F13" s="6" t="s">
        <v>45</v>
      </c>
      <c r="G13" s="6"/>
      <c r="H13" s="12">
        <v>1.1525984691167996</v>
      </c>
      <c r="I13" s="8"/>
      <c r="J13" s="6"/>
      <c r="K13" s="6"/>
      <c r="L13" s="6"/>
      <c r="M13" s="7"/>
    </row>
    <row r="14" spans="1:13" x14ac:dyDescent="0.3">
      <c r="A14">
        <v>14</v>
      </c>
      <c r="B14">
        <v>13.59</v>
      </c>
      <c r="D14" s="6"/>
      <c r="E14" s="6"/>
      <c r="F14" s="6" t="s">
        <v>46</v>
      </c>
      <c r="G14" s="6"/>
      <c r="H14" s="13">
        <v>1</v>
      </c>
      <c r="I14" s="8"/>
      <c r="J14" s="6"/>
      <c r="K14" s="6"/>
      <c r="L14" s="6"/>
      <c r="M14" s="7"/>
    </row>
    <row r="15" spans="1:13" x14ac:dyDescent="0.3">
      <c r="A15">
        <v>15</v>
      </c>
      <c r="B15">
        <v>13.48</v>
      </c>
      <c r="D15" s="6"/>
      <c r="E15" s="6"/>
      <c r="F15" s="6"/>
      <c r="G15" s="6"/>
      <c r="H15" s="13"/>
      <c r="I15" s="8"/>
      <c r="J15" s="6"/>
      <c r="K15" s="6"/>
      <c r="L15" s="6"/>
      <c r="M15" s="7"/>
    </row>
    <row r="16" spans="1:13" x14ac:dyDescent="0.3">
      <c r="D16" s="6"/>
      <c r="E16" s="6"/>
      <c r="F16" s="6"/>
      <c r="G16" s="6"/>
      <c r="H16" s="13"/>
      <c r="I16" s="8"/>
      <c r="J16" s="6"/>
      <c r="K16" s="6"/>
      <c r="L16" s="6"/>
      <c r="M16" s="7"/>
    </row>
    <row r="17" spans="1:13" x14ac:dyDescent="0.3">
      <c r="A17" s="1"/>
      <c r="B17" s="2"/>
      <c r="D17" s="6"/>
      <c r="E17" s="6"/>
      <c r="F17" s="6"/>
      <c r="G17" s="6"/>
      <c r="H17" s="6"/>
      <c r="I17" s="8"/>
      <c r="J17" s="6"/>
      <c r="K17" s="6"/>
      <c r="L17" s="6"/>
      <c r="M17" s="7"/>
    </row>
    <row r="18" spans="1:13" x14ac:dyDescent="0.3">
      <c r="A18" s="1"/>
      <c r="B18" s="5"/>
      <c r="D18" s="6"/>
      <c r="E18" s="6"/>
      <c r="F18" s="6"/>
      <c r="G18" s="6"/>
      <c r="H18" s="6"/>
      <c r="I18" s="8"/>
      <c r="J18" s="6"/>
      <c r="K18" s="6"/>
      <c r="L18" s="6"/>
      <c r="M18" s="7"/>
    </row>
    <row r="19" spans="1:13" x14ac:dyDescent="0.3">
      <c r="A19" s="1"/>
      <c r="B19" s="2"/>
      <c r="D19" s="6"/>
      <c r="E19" s="6"/>
      <c r="F19" s="6"/>
      <c r="G19" s="6"/>
      <c r="H19" s="6"/>
      <c r="I19" s="8"/>
      <c r="J19" s="6"/>
      <c r="K19" s="6"/>
      <c r="L19" s="6"/>
      <c r="M19" s="7"/>
    </row>
    <row r="20" spans="1:13" x14ac:dyDescent="0.3">
      <c r="A20" s="1"/>
      <c r="B20" s="3"/>
      <c r="D20" s="6" t="s">
        <v>38</v>
      </c>
      <c r="E20" s="6"/>
      <c r="F20" s="6"/>
      <c r="G20" s="6"/>
      <c r="H20" s="6"/>
      <c r="I20" s="8"/>
      <c r="J20" s="6"/>
      <c r="K20" s="6"/>
      <c r="L20" s="6"/>
      <c r="M20" s="7"/>
    </row>
    <row r="21" spans="1:13" x14ac:dyDescent="0.3">
      <c r="A21" s="1"/>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9"/>
  <sheetViews>
    <sheetView workbookViewId="0">
      <selection activeCell="E6" sqref="E6:I12"/>
    </sheetView>
  </sheetViews>
  <sheetFormatPr defaultRowHeight="14.4" x14ac:dyDescent="0.3"/>
  <cols>
    <col min="2" max="2" width="15.77734375" bestFit="1" customWidth="1"/>
    <col min="3" max="3" width="11.77734375" bestFit="1" customWidth="1"/>
  </cols>
  <sheetData>
    <row r="1" spans="1:14" x14ac:dyDescent="0.3">
      <c r="A1">
        <v>1</v>
      </c>
      <c r="B1">
        <v>25.54</v>
      </c>
    </row>
    <row r="2" spans="1:14" x14ac:dyDescent="0.3">
      <c r="A2">
        <v>2</v>
      </c>
      <c r="B2">
        <v>22.1</v>
      </c>
    </row>
    <row r="3" spans="1:14" x14ac:dyDescent="0.3">
      <c r="A3">
        <v>3</v>
      </c>
      <c r="B3">
        <v>24.15</v>
      </c>
      <c r="E3" s="6"/>
      <c r="F3" s="6"/>
      <c r="G3" s="6"/>
      <c r="H3" s="6"/>
      <c r="I3" s="6"/>
      <c r="J3" s="9" t="s">
        <v>19</v>
      </c>
      <c r="K3" s="6"/>
      <c r="L3" s="6"/>
      <c r="M3" s="6"/>
      <c r="N3" s="7"/>
    </row>
    <row r="4" spans="1:14" x14ac:dyDescent="0.3">
      <c r="A4">
        <v>4</v>
      </c>
      <c r="B4">
        <v>31.45</v>
      </c>
      <c r="E4" s="6"/>
      <c r="F4" s="6"/>
      <c r="G4" s="6"/>
      <c r="H4" s="6"/>
      <c r="I4" s="6"/>
      <c r="J4" s="8"/>
      <c r="K4" s="6"/>
      <c r="L4" s="6"/>
      <c r="M4" s="6"/>
      <c r="N4" s="7"/>
    </row>
    <row r="5" spans="1:14" x14ac:dyDescent="0.3">
      <c r="A5">
        <v>5</v>
      </c>
      <c r="B5">
        <v>24.88</v>
      </c>
      <c r="E5" s="6"/>
      <c r="F5" s="6"/>
      <c r="G5" s="6"/>
      <c r="H5" s="6"/>
      <c r="I5" s="6"/>
      <c r="J5" s="8"/>
      <c r="K5" s="6"/>
      <c r="L5" s="6"/>
      <c r="M5" s="6"/>
      <c r="N5" s="7"/>
    </row>
    <row r="6" spans="1:14" x14ac:dyDescent="0.3">
      <c r="A6">
        <v>6</v>
      </c>
      <c r="B6">
        <v>26.21</v>
      </c>
      <c r="E6" s="10" t="s">
        <v>55</v>
      </c>
      <c r="F6" s="6"/>
      <c r="G6" s="6"/>
      <c r="H6" s="6"/>
      <c r="I6" s="6"/>
      <c r="J6" s="8"/>
      <c r="K6" s="6"/>
      <c r="L6" s="6"/>
      <c r="M6" s="6"/>
      <c r="N6" s="7"/>
    </row>
    <row r="7" spans="1:14" x14ac:dyDescent="0.3">
      <c r="A7">
        <v>7</v>
      </c>
      <c r="B7">
        <v>25.54</v>
      </c>
      <c r="E7" s="6"/>
      <c r="F7" s="6"/>
      <c r="G7" s="6"/>
      <c r="H7" s="6"/>
      <c r="I7" s="6"/>
      <c r="J7" s="8"/>
      <c r="K7" s="6"/>
      <c r="L7" s="6"/>
      <c r="M7" s="6"/>
      <c r="N7" s="7"/>
    </row>
    <row r="8" spans="1:14" x14ac:dyDescent="0.3">
      <c r="A8">
        <v>8</v>
      </c>
      <c r="B8">
        <v>22.1</v>
      </c>
      <c r="E8" s="10" t="s">
        <v>21</v>
      </c>
      <c r="F8" s="10"/>
      <c r="G8" s="10"/>
      <c r="H8" s="10"/>
      <c r="I8" s="10"/>
      <c r="J8" s="9"/>
      <c r="K8" s="10"/>
      <c r="L8" s="10"/>
      <c r="M8" s="10"/>
      <c r="N8" s="11" t="s">
        <v>56</v>
      </c>
    </row>
    <row r="9" spans="1:14" x14ac:dyDescent="0.3">
      <c r="A9">
        <v>9</v>
      </c>
      <c r="B9">
        <v>24.15</v>
      </c>
      <c r="E9" s="6"/>
      <c r="F9" s="6"/>
      <c r="G9" s="6"/>
      <c r="H9" s="6"/>
      <c r="I9" s="6"/>
      <c r="J9" s="8"/>
      <c r="K9" s="6"/>
      <c r="L9" s="6"/>
      <c r="M9" s="6"/>
      <c r="N9" s="7"/>
    </row>
    <row r="10" spans="1:14" x14ac:dyDescent="0.3">
      <c r="A10">
        <v>10</v>
      </c>
      <c r="B10">
        <v>31.45</v>
      </c>
      <c r="E10" s="6"/>
      <c r="F10" s="6" t="s">
        <v>57</v>
      </c>
      <c r="G10" s="6"/>
      <c r="H10" s="6"/>
      <c r="I10" s="6"/>
      <c r="J10" s="8"/>
      <c r="K10" s="6"/>
      <c r="L10" s="6"/>
      <c r="M10" s="6"/>
      <c r="N10" s="7"/>
    </row>
    <row r="11" spans="1:14" x14ac:dyDescent="0.3">
      <c r="A11">
        <v>11</v>
      </c>
      <c r="B11">
        <v>24.88</v>
      </c>
      <c r="E11" s="6"/>
      <c r="F11" s="6"/>
      <c r="G11" s="6" t="s">
        <v>58</v>
      </c>
      <c r="H11" s="6"/>
      <c r="I11" s="12">
        <v>24.154853566831484</v>
      </c>
      <c r="J11" s="8"/>
      <c r="K11" s="6"/>
      <c r="L11" s="6"/>
      <c r="M11" s="6"/>
      <c r="N11" s="7"/>
    </row>
    <row r="12" spans="1:14" x14ac:dyDescent="0.3">
      <c r="A12">
        <v>12</v>
      </c>
      <c r="B12">
        <v>26.21</v>
      </c>
      <c r="E12" s="6"/>
      <c r="F12" s="6"/>
      <c r="G12" s="6" t="s">
        <v>45</v>
      </c>
      <c r="H12" s="6"/>
      <c r="I12" s="12">
        <v>2.0163105872996145</v>
      </c>
      <c r="J12" s="8"/>
      <c r="K12" s="6"/>
      <c r="L12" s="6"/>
      <c r="M12" s="6"/>
      <c r="N12" s="7"/>
    </row>
    <row r="13" spans="1:14" x14ac:dyDescent="0.3">
      <c r="A13">
        <v>13</v>
      </c>
      <c r="B13">
        <v>25.54</v>
      </c>
      <c r="E13" s="6"/>
      <c r="F13" s="6"/>
      <c r="G13" s="6"/>
      <c r="H13" s="6"/>
      <c r="I13" s="13"/>
      <c r="J13" s="8"/>
      <c r="K13" s="6"/>
      <c r="L13" s="6"/>
      <c r="M13" s="6"/>
      <c r="N13" s="7"/>
    </row>
    <row r="14" spans="1:14" x14ac:dyDescent="0.3">
      <c r="A14">
        <v>14</v>
      </c>
      <c r="B14">
        <v>22.1</v>
      </c>
      <c r="E14" s="6"/>
      <c r="F14" s="6"/>
      <c r="G14" s="6"/>
      <c r="H14" s="6"/>
      <c r="I14" s="13"/>
      <c r="J14" s="8"/>
      <c r="K14" s="6"/>
      <c r="L14" s="6"/>
      <c r="M14" s="6"/>
      <c r="N14" s="7"/>
    </row>
    <row r="15" spans="1:14" x14ac:dyDescent="0.3">
      <c r="A15">
        <v>15</v>
      </c>
      <c r="B15">
        <v>24.15</v>
      </c>
      <c r="E15" s="6"/>
      <c r="F15" s="6"/>
      <c r="G15" s="6"/>
      <c r="H15" s="6"/>
      <c r="I15" s="6"/>
      <c r="J15" s="8"/>
      <c r="K15" s="6"/>
      <c r="L15" s="6"/>
      <c r="M15" s="6"/>
      <c r="N15" s="7"/>
    </row>
    <row r="16" spans="1:14" x14ac:dyDescent="0.3">
      <c r="E16" s="6"/>
      <c r="F16" s="6"/>
      <c r="G16" s="6"/>
      <c r="H16" s="6"/>
      <c r="I16" s="6"/>
      <c r="J16" s="8"/>
      <c r="K16" s="6"/>
      <c r="L16" s="6"/>
      <c r="M16" s="6"/>
      <c r="N16" s="7"/>
    </row>
    <row r="17" spans="5:14" x14ac:dyDescent="0.3">
      <c r="E17" s="6"/>
      <c r="F17" s="6"/>
      <c r="G17" s="6"/>
      <c r="H17" s="6"/>
      <c r="I17" s="6"/>
      <c r="J17" s="8"/>
      <c r="K17" s="6"/>
      <c r="L17" s="6"/>
      <c r="M17" s="6"/>
      <c r="N17" s="7"/>
    </row>
    <row r="18" spans="5:14" x14ac:dyDescent="0.3">
      <c r="E18" s="6"/>
      <c r="F18" s="6"/>
      <c r="G18" s="6"/>
      <c r="H18" s="6"/>
      <c r="I18" s="6"/>
      <c r="J18" s="8"/>
      <c r="K18" s="6"/>
      <c r="L18" s="6"/>
      <c r="M18" s="6"/>
      <c r="N18" s="7"/>
    </row>
    <row r="19" spans="5:14" x14ac:dyDescent="0.3">
      <c r="E19" s="6" t="s">
        <v>38</v>
      </c>
      <c r="F19" s="6"/>
      <c r="G19" s="6"/>
      <c r="H19" s="6"/>
      <c r="I19" s="6"/>
      <c r="J19" s="8"/>
      <c r="K19" s="6"/>
      <c r="L19" s="6"/>
      <c r="M19" s="6"/>
      <c r="N19" s="7"/>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0"/>
  <sheetViews>
    <sheetView workbookViewId="0">
      <selection activeCell="F8" sqref="F8:M16"/>
    </sheetView>
  </sheetViews>
  <sheetFormatPr defaultRowHeight="14.4" x14ac:dyDescent="0.3"/>
  <cols>
    <col min="1" max="1" width="15.77734375" bestFit="1" customWidth="1"/>
    <col min="2" max="2" width="6.5546875" bestFit="1" customWidth="1"/>
  </cols>
  <sheetData>
    <row r="1" spans="1:15" x14ac:dyDescent="0.3">
      <c r="A1">
        <v>1</v>
      </c>
      <c r="B1">
        <v>27.68</v>
      </c>
    </row>
    <row r="2" spans="1:15" x14ac:dyDescent="0.3">
      <c r="A2">
        <v>2</v>
      </c>
      <c r="B2">
        <v>35.799999999999997</v>
      </c>
    </row>
    <row r="3" spans="1:15" x14ac:dyDescent="0.3">
      <c r="A3">
        <v>3</v>
      </c>
      <c r="B3">
        <v>22.52</v>
      </c>
    </row>
    <row r="4" spans="1:15" x14ac:dyDescent="0.3">
      <c r="A4">
        <v>4</v>
      </c>
      <c r="B4">
        <v>29.61</v>
      </c>
    </row>
    <row r="5" spans="1:15" x14ac:dyDescent="0.3">
      <c r="A5">
        <v>5</v>
      </c>
      <c r="B5">
        <v>32.340000000000003</v>
      </c>
      <c r="F5" s="6"/>
      <c r="G5" s="6"/>
      <c r="H5" s="6"/>
      <c r="I5" s="6"/>
      <c r="J5" s="6"/>
      <c r="K5" s="9" t="s">
        <v>19</v>
      </c>
      <c r="L5" s="6"/>
      <c r="M5" s="6"/>
      <c r="N5" s="6"/>
      <c r="O5" s="7"/>
    </row>
    <row r="6" spans="1:15" x14ac:dyDescent="0.3">
      <c r="A6">
        <v>6</v>
      </c>
      <c r="B6">
        <v>34.51</v>
      </c>
      <c r="F6" s="6"/>
      <c r="G6" s="6"/>
      <c r="H6" s="6"/>
      <c r="I6" s="6"/>
      <c r="J6" s="6"/>
      <c r="K6" s="8"/>
      <c r="L6" s="6"/>
      <c r="M6" s="6"/>
      <c r="N6" s="6"/>
      <c r="O6" s="7"/>
    </row>
    <row r="7" spans="1:15" x14ac:dyDescent="0.3">
      <c r="A7">
        <v>7</v>
      </c>
      <c r="B7">
        <v>27.68</v>
      </c>
      <c r="F7" s="6"/>
      <c r="G7" s="6"/>
      <c r="H7" s="6"/>
      <c r="I7" s="6"/>
      <c r="J7" s="6"/>
      <c r="K7" s="8"/>
      <c r="L7" s="6"/>
      <c r="M7" s="6"/>
      <c r="N7" s="6"/>
      <c r="O7" s="7"/>
    </row>
    <row r="8" spans="1:15" x14ac:dyDescent="0.3">
      <c r="A8">
        <v>8</v>
      </c>
      <c r="B8">
        <v>35.799999999999997</v>
      </c>
      <c r="F8" s="10" t="s">
        <v>62</v>
      </c>
      <c r="G8" s="6"/>
      <c r="H8" s="6"/>
      <c r="I8" s="6"/>
      <c r="J8" s="6"/>
      <c r="K8" s="8"/>
      <c r="L8" s="6"/>
      <c r="M8" s="6"/>
      <c r="N8" s="6"/>
      <c r="O8" s="7"/>
    </row>
    <row r="9" spans="1:15" x14ac:dyDescent="0.3">
      <c r="A9">
        <v>9</v>
      </c>
      <c r="B9">
        <v>22.52</v>
      </c>
      <c r="F9" s="6"/>
      <c r="G9" s="6"/>
      <c r="H9" s="6"/>
      <c r="I9" s="6"/>
      <c r="J9" s="6"/>
      <c r="K9" s="8"/>
      <c r="L9" s="6"/>
      <c r="M9" s="6"/>
      <c r="N9" s="6"/>
      <c r="O9" s="7"/>
    </row>
    <row r="10" spans="1:15" x14ac:dyDescent="0.3">
      <c r="A10">
        <v>10</v>
      </c>
      <c r="B10">
        <v>29.61</v>
      </c>
      <c r="F10" s="10" t="s">
        <v>21</v>
      </c>
      <c r="G10" s="10"/>
      <c r="H10" s="10"/>
      <c r="I10" s="10"/>
      <c r="J10" s="10"/>
      <c r="K10" s="9"/>
      <c r="L10" s="10"/>
      <c r="M10" s="10"/>
      <c r="N10" s="10"/>
      <c r="O10" s="11" t="s">
        <v>52</v>
      </c>
    </row>
    <row r="11" spans="1:15" x14ac:dyDescent="0.3">
      <c r="A11">
        <v>11</v>
      </c>
      <c r="B11">
        <v>32.340000000000003</v>
      </c>
      <c r="F11" s="6"/>
      <c r="G11" s="6"/>
      <c r="H11" s="6"/>
      <c r="I11" s="6"/>
      <c r="J11" s="6"/>
      <c r="K11" s="8"/>
      <c r="L11" s="6"/>
      <c r="M11" s="6"/>
      <c r="N11" s="6"/>
      <c r="O11" s="7"/>
    </row>
    <row r="12" spans="1:15" x14ac:dyDescent="0.3">
      <c r="A12">
        <v>12</v>
      </c>
      <c r="B12">
        <v>34.51</v>
      </c>
      <c r="F12" s="6"/>
      <c r="G12" s="6" t="s">
        <v>63</v>
      </c>
      <c r="H12" s="6"/>
      <c r="I12" s="6"/>
      <c r="J12" s="6"/>
      <c r="K12" s="8"/>
      <c r="L12" s="6"/>
      <c r="M12" s="6"/>
      <c r="N12" s="6"/>
      <c r="O12" s="7"/>
    </row>
    <row r="13" spans="1:15" x14ac:dyDescent="0.3">
      <c r="A13">
        <v>13</v>
      </c>
      <c r="B13">
        <v>27.68</v>
      </c>
      <c r="F13" s="6"/>
      <c r="G13" s="6"/>
      <c r="H13" s="6" t="s">
        <v>35</v>
      </c>
      <c r="I13" s="6"/>
      <c r="J13" s="12">
        <v>20.801429364136986</v>
      </c>
      <c r="K13" s="8"/>
      <c r="L13" s="6"/>
      <c r="M13" s="6"/>
      <c r="N13" s="6"/>
      <c r="O13" s="7"/>
    </row>
    <row r="14" spans="1:15" x14ac:dyDescent="0.3">
      <c r="A14">
        <v>14</v>
      </c>
      <c r="B14">
        <v>35.799999999999997</v>
      </c>
      <c r="F14" s="6"/>
      <c r="G14" s="6"/>
      <c r="H14" s="6" t="s">
        <v>36</v>
      </c>
      <c r="I14" s="6"/>
      <c r="J14" s="12">
        <v>36.335306341382761</v>
      </c>
      <c r="K14" s="8"/>
      <c r="L14" s="6"/>
      <c r="M14" s="6"/>
      <c r="N14" s="6"/>
      <c r="O14" s="7"/>
    </row>
    <row r="15" spans="1:15" x14ac:dyDescent="0.3">
      <c r="A15">
        <v>15</v>
      </c>
      <c r="B15">
        <v>22.52</v>
      </c>
      <c r="F15" s="6"/>
      <c r="G15" s="6"/>
      <c r="H15" s="6" t="s">
        <v>64</v>
      </c>
      <c r="I15" s="6"/>
      <c r="J15" s="13">
        <v>0.94629339613510477</v>
      </c>
      <c r="K15" s="8"/>
      <c r="L15" s="6"/>
      <c r="M15" s="6"/>
      <c r="N15" s="6"/>
      <c r="O15" s="7"/>
    </row>
    <row r="16" spans="1:15" x14ac:dyDescent="0.3">
      <c r="F16" s="6"/>
      <c r="G16" s="6"/>
      <c r="H16" s="6" t="s">
        <v>0</v>
      </c>
      <c r="I16" s="6"/>
      <c r="J16" s="13">
        <v>0.64115343364217947</v>
      </c>
      <c r="K16" s="8"/>
      <c r="L16" s="6"/>
      <c r="M16" s="6"/>
      <c r="N16" s="6"/>
      <c r="O16" s="7"/>
    </row>
    <row r="17" spans="6:15" x14ac:dyDescent="0.3">
      <c r="F17" s="6"/>
      <c r="G17" s="6"/>
      <c r="H17" s="6"/>
      <c r="I17" s="6"/>
      <c r="J17" s="13"/>
      <c r="K17" s="8"/>
      <c r="L17" s="6"/>
      <c r="M17" s="6"/>
      <c r="N17" s="6"/>
      <c r="O17" s="7"/>
    </row>
    <row r="18" spans="6:15" x14ac:dyDescent="0.3">
      <c r="F18" s="6"/>
      <c r="G18" s="6"/>
      <c r="H18" s="6"/>
      <c r="I18" s="6"/>
      <c r="J18" s="13"/>
      <c r="K18" s="8"/>
      <c r="L18" s="6"/>
      <c r="M18" s="6"/>
      <c r="N18" s="6"/>
      <c r="O18" s="7"/>
    </row>
    <row r="19" spans="6:15" x14ac:dyDescent="0.3">
      <c r="F19" s="6"/>
      <c r="G19" s="6"/>
      <c r="H19" s="6"/>
      <c r="I19" s="6"/>
      <c r="J19" s="6"/>
      <c r="K19" s="8"/>
      <c r="L19" s="6"/>
      <c r="M19" s="6"/>
      <c r="N19" s="6"/>
      <c r="O19" s="7"/>
    </row>
    <row r="20" spans="6:15" x14ac:dyDescent="0.3">
      <c r="F20" s="6" t="s">
        <v>38</v>
      </c>
      <c r="G20" s="6"/>
      <c r="H20" s="6"/>
      <c r="I20" s="6"/>
      <c r="J20" s="6"/>
      <c r="K20" s="8"/>
      <c r="L20" s="6"/>
      <c r="M20" s="6"/>
      <c r="N20" s="6"/>
      <c r="O20" s="7"/>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9"/>
  <sheetViews>
    <sheetView workbookViewId="0">
      <selection activeCell="F7" sqref="F7:J15"/>
    </sheetView>
  </sheetViews>
  <sheetFormatPr defaultRowHeight="14.4" x14ac:dyDescent="0.3"/>
  <cols>
    <col min="1" max="1" width="15.77734375" bestFit="1" customWidth="1"/>
    <col min="2" max="2" width="6.5546875" bestFit="1" customWidth="1"/>
  </cols>
  <sheetData>
    <row r="1" spans="1:15" x14ac:dyDescent="0.3">
      <c r="A1">
        <v>1</v>
      </c>
      <c r="B1">
        <v>17.86</v>
      </c>
    </row>
    <row r="2" spans="1:15" x14ac:dyDescent="0.3">
      <c r="A2">
        <v>2</v>
      </c>
      <c r="B2">
        <v>19.25</v>
      </c>
    </row>
    <row r="3" spans="1:15" x14ac:dyDescent="0.3">
      <c r="A3">
        <v>3</v>
      </c>
      <c r="B3">
        <v>19.57</v>
      </c>
    </row>
    <row r="4" spans="1:15" x14ac:dyDescent="0.3">
      <c r="A4">
        <v>4</v>
      </c>
      <c r="B4">
        <v>17.61</v>
      </c>
      <c r="F4" s="6"/>
      <c r="G4" s="6"/>
      <c r="H4" s="6"/>
      <c r="I4" s="6"/>
      <c r="J4" s="6"/>
      <c r="K4" s="9" t="s">
        <v>19</v>
      </c>
      <c r="L4" s="6"/>
      <c r="M4" s="6"/>
      <c r="N4" s="6"/>
      <c r="O4" s="7"/>
    </row>
    <row r="5" spans="1:15" x14ac:dyDescent="0.3">
      <c r="A5">
        <v>5</v>
      </c>
      <c r="B5">
        <v>15.89</v>
      </c>
      <c r="F5" s="6"/>
      <c r="G5" s="6"/>
      <c r="H5" s="6"/>
      <c r="I5" s="6"/>
      <c r="J5" s="6"/>
      <c r="K5" s="8"/>
      <c r="L5" s="6"/>
      <c r="M5" s="6"/>
      <c r="N5" s="6"/>
      <c r="O5" s="7"/>
    </row>
    <row r="6" spans="1:15" x14ac:dyDescent="0.3">
      <c r="A6">
        <v>6</v>
      </c>
      <c r="B6">
        <v>19.07</v>
      </c>
      <c r="F6" s="6"/>
      <c r="G6" s="6"/>
      <c r="H6" s="6"/>
      <c r="I6" s="6"/>
      <c r="J6" s="6"/>
      <c r="K6" s="8"/>
      <c r="L6" s="6"/>
      <c r="M6" s="6"/>
      <c r="N6" s="6"/>
      <c r="O6" s="7"/>
    </row>
    <row r="7" spans="1:15" x14ac:dyDescent="0.3">
      <c r="A7">
        <v>7</v>
      </c>
      <c r="B7">
        <v>19.45</v>
      </c>
      <c r="F7" s="10" t="s">
        <v>68</v>
      </c>
      <c r="G7" s="6"/>
      <c r="H7" s="6"/>
      <c r="I7" s="6"/>
      <c r="J7" s="6"/>
      <c r="K7" s="8"/>
      <c r="L7" s="6"/>
      <c r="M7" s="6"/>
      <c r="N7" s="6"/>
      <c r="O7" s="7"/>
    </row>
    <row r="8" spans="1:15" x14ac:dyDescent="0.3">
      <c r="A8">
        <v>8</v>
      </c>
      <c r="B8">
        <v>17.86</v>
      </c>
      <c r="F8" s="6"/>
      <c r="G8" s="6"/>
      <c r="H8" s="6"/>
      <c r="I8" s="6"/>
      <c r="J8" s="6"/>
      <c r="K8" s="8"/>
      <c r="L8" s="6"/>
      <c r="M8" s="6"/>
      <c r="N8" s="6"/>
      <c r="O8" s="7"/>
    </row>
    <row r="9" spans="1:15" x14ac:dyDescent="0.3">
      <c r="A9">
        <v>9</v>
      </c>
      <c r="B9">
        <v>19.25</v>
      </c>
      <c r="F9" s="10" t="s">
        <v>21</v>
      </c>
      <c r="G9" s="10"/>
      <c r="H9" s="10"/>
      <c r="I9" s="10"/>
      <c r="J9" s="10"/>
      <c r="K9" s="9"/>
      <c r="L9" s="10"/>
      <c r="M9" s="10"/>
      <c r="N9" s="10"/>
      <c r="O9" s="11" t="s">
        <v>52</v>
      </c>
    </row>
    <row r="10" spans="1:15" x14ac:dyDescent="0.3">
      <c r="A10">
        <v>10</v>
      </c>
      <c r="B10">
        <v>19.57</v>
      </c>
      <c r="F10" s="6"/>
      <c r="G10" s="6"/>
      <c r="H10" s="6"/>
      <c r="I10" s="6"/>
      <c r="J10" s="6"/>
      <c r="K10" s="8"/>
      <c r="L10" s="6"/>
      <c r="M10" s="6"/>
      <c r="N10" s="6"/>
      <c r="O10" s="7"/>
    </row>
    <row r="11" spans="1:15" x14ac:dyDescent="0.3">
      <c r="A11">
        <v>11</v>
      </c>
      <c r="B11">
        <v>17.61</v>
      </c>
      <c r="F11" s="6"/>
      <c r="G11" s="6" t="s">
        <v>63</v>
      </c>
      <c r="H11" s="6"/>
      <c r="I11" s="6"/>
      <c r="J11" s="6"/>
      <c r="K11" s="8"/>
      <c r="L11" s="6"/>
      <c r="M11" s="6"/>
      <c r="N11" s="6"/>
      <c r="O11" s="7"/>
    </row>
    <row r="12" spans="1:15" x14ac:dyDescent="0.3">
      <c r="A12">
        <v>12</v>
      </c>
      <c r="B12">
        <v>15.89</v>
      </c>
      <c r="F12" s="6"/>
      <c r="G12" s="6"/>
      <c r="H12" s="6" t="s">
        <v>35</v>
      </c>
      <c r="I12" s="6"/>
      <c r="J12" s="12">
        <v>15.228406095411556</v>
      </c>
      <c r="K12" s="8"/>
      <c r="L12" s="6"/>
      <c r="M12" s="6"/>
      <c r="N12" s="6"/>
      <c r="O12" s="7"/>
    </row>
    <row r="13" spans="1:15" x14ac:dyDescent="0.3">
      <c r="A13">
        <v>13</v>
      </c>
      <c r="B13">
        <v>19.07</v>
      </c>
      <c r="F13" s="6"/>
      <c r="G13" s="6"/>
      <c r="H13" s="6" t="s">
        <v>36</v>
      </c>
      <c r="I13" s="6"/>
      <c r="J13" s="12">
        <v>19.632976155727626</v>
      </c>
      <c r="K13" s="8"/>
      <c r="L13" s="6"/>
      <c r="M13" s="6"/>
      <c r="N13" s="6"/>
      <c r="O13" s="7"/>
    </row>
    <row r="14" spans="1:15" x14ac:dyDescent="0.3">
      <c r="A14">
        <v>14</v>
      </c>
      <c r="B14">
        <v>19.45</v>
      </c>
      <c r="F14" s="6"/>
      <c r="G14" s="6"/>
      <c r="H14" s="6" t="s">
        <v>64</v>
      </c>
      <c r="I14" s="6"/>
      <c r="J14" s="13">
        <v>1.2102376303678946</v>
      </c>
      <c r="K14" s="8"/>
      <c r="L14" s="6"/>
      <c r="M14" s="6"/>
      <c r="N14" s="6"/>
      <c r="O14" s="7"/>
    </row>
    <row r="15" spans="1:15" x14ac:dyDescent="0.3">
      <c r="A15">
        <v>15</v>
      </c>
      <c r="B15">
        <v>17.61</v>
      </c>
      <c r="F15" s="6"/>
      <c r="G15" s="6"/>
      <c r="H15" s="6" t="s">
        <v>0</v>
      </c>
      <c r="I15" s="6"/>
      <c r="J15" s="13">
        <v>0.5062058572080208</v>
      </c>
      <c r="K15" s="8"/>
      <c r="L15" s="6"/>
      <c r="M15" s="6"/>
      <c r="N15" s="6"/>
      <c r="O15" s="7"/>
    </row>
    <row r="16" spans="1:15" x14ac:dyDescent="0.3">
      <c r="F16" s="6"/>
      <c r="G16" s="6"/>
      <c r="H16" s="6"/>
      <c r="I16" s="6"/>
      <c r="J16" s="13"/>
      <c r="K16" s="8"/>
      <c r="L16" s="6"/>
      <c r="M16" s="6"/>
      <c r="N16" s="6"/>
      <c r="O16" s="7"/>
    </row>
    <row r="17" spans="6:15" x14ac:dyDescent="0.3">
      <c r="F17" s="6"/>
      <c r="G17" s="6"/>
      <c r="H17" s="6"/>
      <c r="I17" s="6"/>
      <c r="J17" s="13"/>
      <c r="K17" s="8"/>
      <c r="L17" s="6"/>
      <c r="M17" s="6"/>
      <c r="N17" s="6"/>
      <c r="O17" s="7"/>
    </row>
    <row r="18" spans="6:15" x14ac:dyDescent="0.3">
      <c r="F18" s="6"/>
      <c r="G18" s="6"/>
      <c r="H18" s="6"/>
      <c r="I18" s="6"/>
      <c r="J18" s="6"/>
      <c r="K18" s="8"/>
      <c r="L18" s="6"/>
      <c r="M18" s="6"/>
      <c r="N18" s="6"/>
      <c r="O18" s="7"/>
    </row>
    <row r="19" spans="6:15" x14ac:dyDescent="0.3">
      <c r="F19" s="6" t="s">
        <v>38</v>
      </c>
      <c r="G19" s="6"/>
      <c r="H19" s="6"/>
      <c r="I19" s="6"/>
      <c r="J19" s="6"/>
      <c r="K19" s="8"/>
      <c r="L19" s="6"/>
      <c r="M19" s="6"/>
      <c r="N19" s="6"/>
      <c r="O19" s="7"/>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7"/>
  <sheetViews>
    <sheetView workbookViewId="0">
      <selection activeCell="F4" sqref="F4:J10"/>
    </sheetView>
  </sheetViews>
  <sheetFormatPr defaultRowHeight="14.4" x14ac:dyDescent="0.3"/>
  <cols>
    <col min="2" max="2" width="15.77734375" bestFit="1" customWidth="1"/>
    <col min="3" max="3" width="6.5546875" bestFit="1" customWidth="1"/>
  </cols>
  <sheetData>
    <row r="1" spans="1:15" x14ac:dyDescent="0.3">
      <c r="A1">
        <v>1</v>
      </c>
      <c r="B1">
        <v>20.92</v>
      </c>
    </row>
    <row r="2" spans="1:15" x14ac:dyDescent="0.3">
      <c r="A2">
        <v>2</v>
      </c>
      <c r="B2">
        <v>33.69</v>
      </c>
    </row>
    <row r="3" spans="1:15" x14ac:dyDescent="0.3">
      <c r="A3">
        <v>3</v>
      </c>
      <c r="B3">
        <v>17.18</v>
      </c>
    </row>
    <row r="4" spans="1:15" x14ac:dyDescent="0.3">
      <c r="A4">
        <v>4</v>
      </c>
      <c r="B4">
        <v>17.260000000000002</v>
      </c>
      <c r="F4" s="10" t="s">
        <v>81</v>
      </c>
      <c r="G4" s="6"/>
      <c r="H4" s="6"/>
      <c r="I4" s="6"/>
      <c r="J4" s="6"/>
      <c r="K4" s="8"/>
      <c r="L4" s="6"/>
      <c r="M4" s="6"/>
      <c r="N4" s="6"/>
      <c r="O4" s="7"/>
    </row>
    <row r="5" spans="1:15" x14ac:dyDescent="0.3">
      <c r="A5">
        <v>5</v>
      </c>
      <c r="B5">
        <v>18.75</v>
      </c>
      <c r="F5" s="6"/>
      <c r="G5" s="6"/>
      <c r="H5" s="6"/>
      <c r="I5" s="6"/>
      <c r="J5" s="6"/>
      <c r="K5" s="8"/>
      <c r="L5" s="6"/>
      <c r="M5" s="6"/>
      <c r="N5" s="6"/>
      <c r="O5" s="7"/>
    </row>
    <row r="6" spans="1:15" x14ac:dyDescent="0.3">
      <c r="A6">
        <v>6</v>
      </c>
      <c r="B6">
        <v>20.65</v>
      </c>
      <c r="F6" s="10" t="s">
        <v>21</v>
      </c>
      <c r="G6" s="10"/>
      <c r="H6" s="10"/>
      <c r="I6" s="10"/>
      <c r="J6" s="10"/>
      <c r="K6" s="9"/>
      <c r="L6" s="10"/>
      <c r="M6" s="10"/>
      <c r="N6" s="10"/>
      <c r="O6" s="11" t="s">
        <v>56</v>
      </c>
    </row>
    <row r="7" spans="1:15" x14ac:dyDescent="0.3">
      <c r="A7">
        <v>7</v>
      </c>
      <c r="B7">
        <v>22.45</v>
      </c>
      <c r="F7" s="6"/>
      <c r="G7" s="6"/>
      <c r="H7" s="6"/>
      <c r="I7" s="6"/>
      <c r="J7" s="6"/>
      <c r="K7" s="8"/>
      <c r="L7" s="6"/>
      <c r="M7" s="6"/>
      <c r="N7" s="6"/>
      <c r="O7" s="7"/>
    </row>
    <row r="8" spans="1:15" x14ac:dyDescent="0.3">
      <c r="A8">
        <v>8</v>
      </c>
      <c r="B8">
        <v>20.92</v>
      </c>
      <c r="F8" s="6"/>
      <c r="G8" s="6" t="s">
        <v>22</v>
      </c>
      <c r="H8" s="6"/>
      <c r="I8" s="6"/>
      <c r="J8" s="6"/>
      <c r="K8" s="8"/>
      <c r="L8" s="6"/>
      <c r="M8" s="6"/>
      <c r="N8" s="6"/>
      <c r="O8" s="7"/>
    </row>
    <row r="9" spans="1:15" x14ac:dyDescent="0.3">
      <c r="A9">
        <v>9</v>
      </c>
      <c r="B9">
        <v>33.69</v>
      </c>
      <c r="F9" s="6"/>
      <c r="G9" s="6"/>
      <c r="H9" s="6" t="s">
        <v>23</v>
      </c>
      <c r="I9" s="6"/>
      <c r="J9" s="12">
        <v>16.943132960801183</v>
      </c>
      <c r="K9" s="8"/>
      <c r="L9" s="6"/>
      <c r="M9" s="6"/>
      <c r="N9" s="6"/>
      <c r="O9" s="7"/>
    </row>
    <row r="10" spans="1:15" x14ac:dyDescent="0.3">
      <c r="A10">
        <v>10</v>
      </c>
      <c r="B10">
        <v>17.18</v>
      </c>
      <c r="F10" s="6"/>
      <c r="G10" s="6"/>
      <c r="H10" s="6" t="s">
        <v>24</v>
      </c>
      <c r="I10" s="6"/>
      <c r="J10" s="13">
        <v>4.8019323407890537</v>
      </c>
      <c r="K10" s="8"/>
      <c r="L10" s="6"/>
      <c r="M10" s="6"/>
      <c r="N10" s="6"/>
      <c r="O10" s="7"/>
    </row>
    <row r="11" spans="1:15" x14ac:dyDescent="0.3">
      <c r="A11">
        <v>11</v>
      </c>
      <c r="B11">
        <v>17.260000000000002</v>
      </c>
      <c r="F11" s="6"/>
      <c r="G11" s="6"/>
      <c r="H11" s="6"/>
      <c r="I11" s="6"/>
      <c r="J11" s="13"/>
      <c r="K11" s="8"/>
      <c r="L11" s="6"/>
      <c r="M11" s="6"/>
      <c r="N11" s="6"/>
      <c r="O11" s="7"/>
    </row>
    <row r="12" spans="1:15" x14ac:dyDescent="0.3">
      <c r="A12">
        <v>12</v>
      </c>
      <c r="B12">
        <v>18.75</v>
      </c>
      <c r="F12" s="6"/>
      <c r="G12" s="6"/>
      <c r="H12" s="6"/>
      <c r="I12" s="6"/>
      <c r="J12" s="13"/>
      <c r="K12" s="8"/>
      <c r="L12" s="6"/>
      <c r="M12" s="6"/>
      <c r="N12" s="6"/>
      <c r="O12" s="7"/>
    </row>
    <row r="13" spans="1:15" x14ac:dyDescent="0.3">
      <c r="A13">
        <v>13</v>
      </c>
      <c r="B13">
        <v>20.65</v>
      </c>
      <c r="F13" s="6"/>
      <c r="G13" s="6"/>
      <c r="H13" s="6"/>
      <c r="I13" s="6"/>
      <c r="J13" s="6"/>
      <c r="K13" s="8"/>
      <c r="L13" s="6"/>
      <c r="M13" s="6"/>
      <c r="N13" s="6"/>
      <c r="O13" s="7"/>
    </row>
    <row r="14" spans="1:15" x14ac:dyDescent="0.3">
      <c r="A14">
        <v>14</v>
      </c>
      <c r="B14">
        <v>22.45</v>
      </c>
      <c r="F14" s="6"/>
      <c r="G14" s="6"/>
      <c r="H14" s="6"/>
      <c r="I14" s="6"/>
      <c r="J14" s="6"/>
      <c r="K14" s="8"/>
      <c r="L14" s="6"/>
      <c r="M14" s="6"/>
      <c r="N14" s="6"/>
      <c r="O14" s="7"/>
    </row>
    <row r="15" spans="1:15" x14ac:dyDescent="0.3">
      <c r="A15">
        <v>15</v>
      </c>
      <c r="B15">
        <v>18.75</v>
      </c>
      <c r="F15" s="6"/>
      <c r="G15" s="6"/>
      <c r="H15" s="6"/>
      <c r="I15" s="6"/>
      <c r="J15" s="6"/>
      <c r="K15" s="8"/>
      <c r="L15" s="6"/>
      <c r="M15" s="6"/>
      <c r="N15" s="6"/>
      <c r="O15" s="7"/>
    </row>
    <row r="16" spans="1:15" x14ac:dyDescent="0.3">
      <c r="F16" s="6"/>
      <c r="G16" s="6"/>
      <c r="H16" s="6"/>
      <c r="I16" s="6"/>
      <c r="J16" s="6"/>
      <c r="K16" s="8"/>
      <c r="L16" s="6"/>
      <c r="M16" s="6"/>
      <c r="N16" s="6"/>
      <c r="O16" s="7"/>
    </row>
    <row r="17" spans="6:15" x14ac:dyDescent="0.3">
      <c r="F17" s="6" t="s">
        <v>38</v>
      </c>
      <c r="G17" s="6"/>
      <c r="H17" s="6"/>
      <c r="I17" s="6"/>
      <c r="J17" s="6"/>
      <c r="K17" s="8"/>
      <c r="L17" s="6"/>
      <c r="M17" s="6"/>
      <c r="N17" s="6"/>
      <c r="O17" s="7"/>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8"/>
  <sheetViews>
    <sheetView workbookViewId="0">
      <selection activeCell="E5" sqref="E5:I12"/>
    </sheetView>
  </sheetViews>
  <sheetFormatPr defaultRowHeight="14.4" x14ac:dyDescent="0.3"/>
  <cols>
    <col min="2" max="2" width="15.77734375" bestFit="1" customWidth="1"/>
    <col min="3" max="3" width="7.109375" bestFit="1" customWidth="1"/>
  </cols>
  <sheetData>
    <row r="1" spans="1:14" x14ac:dyDescent="0.3">
      <c r="A1">
        <v>1</v>
      </c>
      <c r="B1">
        <v>9.7899999999999991</v>
      </c>
    </row>
    <row r="2" spans="1:14" x14ac:dyDescent="0.3">
      <c r="A2">
        <v>2</v>
      </c>
      <c r="B2">
        <v>13.56</v>
      </c>
      <c r="E2" s="6"/>
      <c r="F2" s="6"/>
      <c r="G2" s="6"/>
      <c r="H2" s="6"/>
      <c r="I2" s="6"/>
      <c r="J2" s="9" t="s">
        <v>19</v>
      </c>
      <c r="K2" s="6"/>
      <c r="L2" s="6"/>
      <c r="M2" s="6"/>
      <c r="N2" s="7"/>
    </row>
    <row r="3" spans="1:14" x14ac:dyDescent="0.3">
      <c r="A3">
        <v>3</v>
      </c>
      <c r="B3">
        <v>11.21</v>
      </c>
      <c r="E3" s="6"/>
      <c r="F3" s="6"/>
      <c r="G3" s="6"/>
      <c r="H3" s="6"/>
      <c r="I3" s="6"/>
      <c r="J3" s="8"/>
      <c r="K3" s="6"/>
      <c r="L3" s="6"/>
      <c r="M3" s="6"/>
      <c r="N3" s="7"/>
    </row>
    <row r="4" spans="1:14" x14ac:dyDescent="0.3">
      <c r="A4">
        <v>4</v>
      </c>
      <c r="B4">
        <v>13.2</v>
      </c>
      <c r="E4" s="6"/>
      <c r="F4" s="6"/>
      <c r="G4" s="6"/>
      <c r="H4" s="6"/>
      <c r="I4" s="6"/>
      <c r="J4" s="8"/>
      <c r="K4" s="6"/>
      <c r="L4" s="6"/>
      <c r="M4" s="6"/>
      <c r="N4" s="7"/>
    </row>
    <row r="5" spans="1:14" x14ac:dyDescent="0.3">
      <c r="A5">
        <v>5</v>
      </c>
      <c r="B5">
        <v>10.93</v>
      </c>
      <c r="E5" s="10" t="s">
        <v>71</v>
      </c>
      <c r="F5" s="6"/>
      <c r="G5" s="6"/>
      <c r="H5" s="6"/>
      <c r="I5" s="6"/>
      <c r="J5" s="8"/>
      <c r="K5" s="6"/>
      <c r="L5" s="6"/>
      <c r="M5" s="6"/>
      <c r="N5" s="7"/>
    </row>
    <row r="6" spans="1:14" x14ac:dyDescent="0.3">
      <c r="A6">
        <v>6</v>
      </c>
      <c r="B6">
        <v>9.36</v>
      </c>
      <c r="E6" s="6"/>
      <c r="F6" s="6"/>
      <c r="G6" s="6"/>
      <c r="H6" s="6"/>
      <c r="I6" s="6"/>
      <c r="J6" s="8"/>
      <c r="K6" s="6"/>
      <c r="L6" s="6"/>
      <c r="M6" s="6"/>
      <c r="N6" s="7"/>
    </row>
    <row r="7" spans="1:14" x14ac:dyDescent="0.3">
      <c r="A7">
        <v>7</v>
      </c>
      <c r="B7">
        <v>13.45</v>
      </c>
      <c r="E7" s="10" t="s">
        <v>21</v>
      </c>
      <c r="F7" s="10"/>
      <c r="G7" s="10"/>
      <c r="H7" s="10"/>
      <c r="I7" s="10"/>
      <c r="J7" s="9"/>
      <c r="K7" s="10"/>
      <c r="L7" s="10"/>
      <c r="M7" s="10"/>
      <c r="N7" s="11" t="s">
        <v>72</v>
      </c>
    </row>
    <row r="8" spans="1:14" x14ac:dyDescent="0.3">
      <c r="A8">
        <v>8</v>
      </c>
      <c r="B8">
        <v>9.7899999999999991</v>
      </c>
      <c r="E8" s="6"/>
      <c r="F8" s="6"/>
      <c r="G8" s="6"/>
      <c r="H8" s="6"/>
      <c r="I8" s="6"/>
      <c r="J8" s="8"/>
      <c r="K8" s="6"/>
      <c r="L8" s="6"/>
      <c r="M8" s="6"/>
      <c r="N8" s="7"/>
    </row>
    <row r="9" spans="1:14" x14ac:dyDescent="0.3">
      <c r="A9">
        <v>9</v>
      </c>
      <c r="B9">
        <v>13.56</v>
      </c>
      <c r="E9" s="6"/>
      <c r="F9" s="6" t="s">
        <v>73</v>
      </c>
      <c r="G9" s="6"/>
      <c r="H9" s="6"/>
      <c r="I9" s="6"/>
      <c r="J9" s="8"/>
      <c r="K9" s="6"/>
      <c r="L9" s="6"/>
      <c r="M9" s="6"/>
      <c r="N9" s="7"/>
    </row>
    <row r="10" spans="1:14" x14ac:dyDescent="0.3">
      <c r="A10">
        <v>10</v>
      </c>
      <c r="B10">
        <v>11.21</v>
      </c>
      <c r="E10" s="6"/>
      <c r="F10" s="6"/>
      <c r="G10" s="6" t="s">
        <v>23</v>
      </c>
      <c r="H10" s="6"/>
      <c r="I10" s="12">
        <v>6.1555736766397358</v>
      </c>
      <c r="J10" s="8"/>
      <c r="K10" s="6"/>
      <c r="L10" s="6"/>
      <c r="M10" s="6"/>
      <c r="N10" s="7"/>
    </row>
    <row r="11" spans="1:14" x14ac:dyDescent="0.3">
      <c r="A11">
        <v>11</v>
      </c>
      <c r="B11">
        <v>13.2</v>
      </c>
      <c r="E11" s="6"/>
      <c r="F11" s="6"/>
      <c r="G11" s="6" t="s">
        <v>45</v>
      </c>
      <c r="H11" s="6"/>
      <c r="I11" s="12">
        <v>5.9893372741495758</v>
      </c>
      <c r="J11" s="8"/>
      <c r="K11" s="6"/>
      <c r="L11" s="6"/>
      <c r="M11" s="6"/>
      <c r="N11" s="7"/>
    </row>
    <row r="12" spans="1:14" x14ac:dyDescent="0.3">
      <c r="A12">
        <v>12</v>
      </c>
      <c r="B12">
        <v>10.93</v>
      </c>
      <c r="E12" s="6"/>
      <c r="F12" s="6"/>
      <c r="G12" s="6" t="s">
        <v>24</v>
      </c>
      <c r="H12" s="6"/>
      <c r="I12" s="13">
        <v>3.4231713298482456</v>
      </c>
      <c r="J12" s="8"/>
      <c r="K12" s="6"/>
      <c r="L12" s="6"/>
      <c r="M12" s="6"/>
      <c r="N12" s="7"/>
    </row>
    <row r="13" spans="1:14" x14ac:dyDescent="0.3">
      <c r="A13">
        <v>13</v>
      </c>
      <c r="B13">
        <v>9.36</v>
      </c>
      <c r="E13" s="6"/>
      <c r="F13" s="6"/>
      <c r="G13" s="6"/>
      <c r="H13" s="6"/>
      <c r="I13" s="13"/>
      <c r="J13" s="8"/>
      <c r="K13" s="6"/>
      <c r="L13" s="6"/>
      <c r="M13" s="6"/>
      <c r="N13" s="7"/>
    </row>
    <row r="14" spans="1:14" x14ac:dyDescent="0.3">
      <c r="A14">
        <v>14</v>
      </c>
      <c r="B14">
        <v>13.45</v>
      </c>
      <c r="E14" s="6"/>
      <c r="F14" s="6"/>
      <c r="G14" s="6"/>
      <c r="H14" s="6"/>
      <c r="I14" s="13"/>
      <c r="J14" s="8"/>
      <c r="K14" s="6"/>
      <c r="L14" s="6"/>
      <c r="M14" s="6"/>
      <c r="N14" s="7"/>
    </row>
    <row r="15" spans="1:14" x14ac:dyDescent="0.3">
      <c r="A15">
        <v>15</v>
      </c>
      <c r="B15">
        <v>9.36</v>
      </c>
      <c r="E15" s="6"/>
      <c r="F15" s="6"/>
      <c r="G15" s="6"/>
      <c r="H15" s="6"/>
      <c r="I15" s="6"/>
      <c r="J15" s="8"/>
      <c r="K15" s="6"/>
      <c r="L15" s="6"/>
      <c r="M15" s="6"/>
      <c r="N15" s="7"/>
    </row>
    <row r="16" spans="1:14" x14ac:dyDescent="0.3">
      <c r="E16" s="6"/>
      <c r="F16" s="6"/>
      <c r="G16" s="6"/>
      <c r="H16" s="6"/>
      <c r="I16" s="6"/>
      <c r="J16" s="8"/>
      <c r="K16" s="6"/>
      <c r="L16" s="6"/>
      <c r="M16" s="6"/>
      <c r="N16" s="7"/>
    </row>
    <row r="17" spans="5:14" x14ac:dyDescent="0.3">
      <c r="E17" s="6"/>
      <c r="F17" s="6"/>
      <c r="G17" s="6"/>
      <c r="H17" s="6"/>
      <c r="I17" s="6"/>
      <c r="J17" s="8"/>
      <c r="K17" s="6"/>
      <c r="L17" s="6"/>
      <c r="M17" s="6"/>
      <c r="N17" s="7"/>
    </row>
    <row r="18" spans="5:14" x14ac:dyDescent="0.3">
      <c r="E18" s="6" t="s">
        <v>38</v>
      </c>
      <c r="F18" s="6"/>
      <c r="G18" s="6"/>
      <c r="H18" s="6"/>
      <c r="I18" s="6"/>
      <c r="J18" s="8"/>
      <c r="K18" s="6"/>
      <c r="L18" s="6"/>
      <c r="M18" s="6"/>
      <c r="N18" s="7"/>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0"/>
  <sheetViews>
    <sheetView workbookViewId="0">
      <selection activeCell="E7" sqref="E7:I13"/>
    </sheetView>
  </sheetViews>
  <sheetFormatPr defaultRowHeight="14.4" x14ac:dyDescent="0.3"/>
  <cols>
    <col min="1" max="1" width="15.77734375" bestFit="1" customWidth="1"/>
    <col min="2" max="2" width="11.33203125" bestFit="1" customWidth="1"/>
  </cols>
  <sheetData>
    <row r="1" spans="1:14" x14ac:dyDescent="0.3">
      <c r="A1">
        <v>1</v>
      </c>
      <c r="B1">
        <v>14.51</v>
      </c>
    </row>
    <row r="2" spans="1:14" x14ac:dyDescent="0.3">
      <c r="A2">
        <v>2</v>
      </c>
      <c r="B2">
        <v>13.78</v>
      </c>
    </row>
    <row r="3" spans="1:14" x14ac:dyDescent="0.3">
      <c r="A3">
        <v>3</v>
      </c>
      <c r="B3">
        <v>13.27</v>
      </c>
    </row>
    <row r="4" spans="1:14" x14ac:dyDescent="0.3">
      <c r="A4">
        <v>4</v>
      </c>
      <c r="B4">
        <v>10.93</v>
      </c>
      <c r="E4" s="6"/>
      <c r="F4" s="6"/>
      <c r="G4" s="6"/>
      <c r="H4" s="6"/>
      <c r="I4" s="6"/>
      <c r="J4" s="9" t="s">
        <v>19</v>
      </c>
      <c r="K4" s="6"/>
      <c r="L4" s="6"/>
      <c r="M4" s="6"/>
      <c r="N4" s="7"/>
    </row>
    <row r="5" spans="1:14" x14ac:dyDescent="0.3">
      <c r="A5">
        <v>5</v>
      </c>
      <c r="B5">
        <v>12.3</v>
      </c>
      <c r="E5" s="6"/>
      <c r="F5" s="6"/>
      <c r="G5" s="6"/>
      <c r="H5" s="6"/>
      <c r="I5" s="6"/>
      <c r="J5" s="8"/>
      <c r="K5" s="6"/>
      <c r="L5" s="6"/>
      <c r="M5" s="6"/>
      <c r="N5" s="7"/>
    </row>
    <row r="6" spans="1:14" x14ac:dyDescent="0.3">
      <c r="A6">
        <v>6</v>
      </c>
      <c r="B6">
        <v>11.01</v>
      </c>
      <c r="E6" s="6"/>
      <c r="F6" s="6"/>
      <c r="G6" s="6"/>
      <c r="H6" s="6"/>
      <c r="I6" s="6"/>
      <c r="J6" s="8"/>
      <c r="K6" s="6"/>
      <c r="L6" s="6"/>
      <c r="M6" s="6"/>
      <c r="N6" s="7"/>
    </row>
    <row r="7" spans="1:14" x14ac:dyDescent="0.3">
      <c r="A7">
        <v>7</v>
      </c>
      <c r="B7">
        <v>14.51</v>
      </c>
      <c r="E7" s="10" t="s">
        <v>76</v>
      </c>
      <c r="F7" s="6"/>
      <c r="G7" s="6"/>
      <c r="H7" s="6"/>
      <c r="I7" s="6"/>
      <c r="J7" s="8"/>
      <c r="K7" s="6"/>
      <c r="L7" s="6"/>
      <c r="M7" s="6"/>
      <c r="N7" s="7"/>
    </row>
    <row r="8" spans="1:14" x14ac:dyDescent="0.3">
      <c r="A8">
        <v>8</v>
      </c>
      <c r="B8">
        <v>13.78</v>
      </c>
      <c r="E8" s="6"/>
      <c r="F8" s="6"/>
      <c r="G8" s="6"/>
      <c r="H8" s="6"/>
      <c r="I8" s="6"/>
      <c r="J8" s="8"/>
      <c r="K8" s="6"/>
      <c r="L8" s="6"/>
      <c r="M8" s="6"/>
      <c r="N8" s="7"/>
    </row>
    <row r="9" spans="1:14" x14ac:dyDescent="0.3">
      <c r="A9">
        <v>9</v>
      </c>
      <c r="B9">
        <v>13.27</v>
      </c>
      <c r="E9" s="10" t="s">
        <v>21</v>
      </c>
      <c r="F9" s="10"/>
      <c r="G9" s="10"/>
      <c r="H9" s="10"/>
      <c r="I9" s="10"/>
      <c r="J9" s="9"/>
      <c r="K9" s="10"/>
      <c r="L9" s="10"/>
      <c r="M9" s="10"/>
      <c r="N9" s="11" t="s">
        <v>52</v>
      </c>
    </row>
    <row r="10" spans="1:14" x14ac:dyDescent="0.3">
      <c r="A10">
        <v>10</v>
      </c>
      <c r="B10">
        <v>10.93</v>
      </c>
      <c r="E10" s="6"/>
      <c r="F10" s="6"/>
      <c r="G10" s="6"/>
      <c r="H10" s="6"/>
      <c r="I10" s="6"/>
      <c r="J10" s="8"/>
      <c r="K10" s="6"/>
      <c r="L10" s="6"/>
      <c r="M10" s="6"/>
      <c r="N10" s="7"/>
    </row>
    <row r="11" spans="1:14" x14ac:dyDescent="0.3">
      <c r="A11">
        <v>11</v>
      </c>
      <c r="B11">
        <v>12.3</v>
      </c>
      <c r="E11" s="6"/>
      <c r="F11" s="6" t="s">
        <v>77</v>
      </c>
      <c r="G11" s="6"/>
      <c r="H11" s="6"/>
      <c r="I11" s="6"/>
      <c r="J11" s="8"/>
      <c r="K11" s="6"/>
      <c r="L11" s="6"/>
      <c r="M11" s="6"/>
      <c r="N11" s="7"/>
    </row>
    <row r="12" spans="1:14" x14ac:dyDescent="0.3">
      <c r="A12">
        <v>12</v>
      </c>
      <c r="B12">
        <v>11.01</v>
      </c>
      <c r="E12" s="6"/>
      <c r="F12" s="6"/>
      <c r="G12" s="6" t="s">
        <v>58</v>
      </c>
      <c r="H12" s="6"/>
      <c r="I12" s="12">
        <v>13.506533771896418</v>
      </c>
      <c r="J12" s="8"/>
      <c r="K12" s="6"/>
      <c r="L12" s="6"/>
      <c r="M12" s="6"/>
      <c r="N12" s="7"/>
    </row>
    <row r="13" spans="1:14" x14ac:dyDescent="0.3">
      <c r="A13">
        <v>13</v>
      </c>
      <c r="B13">
        <v>14.51</v>
      </c>
      <c r="E13" s="6"/>
      <c r="F13" s="6"/>
      <c r="G13" s="6" t="s">
        <v>45</v>
      </c>
      <c r="H13" s="6"/>
      <c r="I13" s="12">
        <v>1.0635779416148987</v>
      </c>
      <c r="J13" s="8"/>
      <c r="K13" s="6"/>
      <c r="L13" s="6"/>
      <c r="M13" s="6"/>
      <c r="N13" s="7"/>
    </row>
    <row r="14" spans="1:14" x14ac:dyDescent="0.3">
      <c r="A14">
        <v>14</v>
      </c>
      <c r="B14">
        <v>13.78</v>
      </c>
      <c r="E14" s="6"/>
      <c r="F14" s="6"/>
      <c r="G14" s="6"/>
      <c r="H14" s="6"/>
      <c r="I14" s="13"/>
      <c r="J14" s="8"/>
      <c r="K14" s="6"/>
      <c r="L14" s="6"/>
      <c r="M14" s="6"/>
      <c r="N14" s="7"/>
    </row>
    <row r="15" spans="1:14" x14ac:dyDescent="0.3">
      <c r="A15">
        <v>15</v>
      </c>
      <c r="B15">
        <v>13.27</v>
      </c>
      <c r="E15" s="6"/>
      <c r="F15" s="6"/>
      <c r="G15" s="6"/>
      <c r="H15" s="6"/>
      <c r="I15" s="13"/>
      <c r="J15" s="8"/>
      <c r="K15" s="6"/>
      <c r="L15" s="6"/>
      <c r="M15" s="6"/>
      <c r="N15" s="7"/>
    </row>
    <row r="16" spans="1:14" x14ac:dyDescent="0.3">
      <c r="E16" s="6"/>
      <c r="F16" s="6"/>
      <c r="G16" s="6"/>
      <c r="H16" s="6"/>
      <c r="I16" s="6"/>
      <c r="J16" s="8"/>
      <c r="K16" s="6"/>
      <c r="L16" s="6"/>
      <c r="M16" s="6"/>
      <c r="N16" s="7"/>
    </row>
    <row r="17" spans="5:14" x14ac:dyDescent="0.3">
      <c r="E17" s="6"/>
      <c r="F17" s="6"/>
      <c r="G17" s="6"/>
      <c r="H17" s="6"/>
      <c r="I17" s="6"/>
      <c r="J17" s="8"/>
      <c r="K17" s="6"/>
      <c r="L17" s="6"/>
      <c r="M17" s="6"/>
      <c r="N17" s="7"/>
    </row>
    <row r="18" spans="5:14" x14ac:dyDescent="0.3">
      <c r="E18" s="6"/>
      <c r="F18" s="6"/>
      <c r="G18" s="6"/>
      <c r="H18" s="6"/>
      <c r="I18" s="6"/>
      <c r="J18" s="8"/>
      <c r="K18" s="6"/>
      <c r="L18" s="6"/>
      <c r="M18" s="6"/>
      <c r="N18" s="7"/>
    </row>
    <row r="19" spans="5:14" x14ac:dyDescent="0.3">
      <c r="E19" s="6"/>
      <c r="F19" s="6"/>
      <c r="G19" s="6"/>
      <c r="H19" s="6"/>
      <c r="I19" s="6"/>
      <c r="J19" s="8"/>
      <c r="K19" s="6"/>
      <c r="L19" s="6"/>
      <c r="M19" s="6"/>
      <c r="N19" s="7"/>
    </row>
    <row r="20" spans="5:14" x14ac:dyDescent="0.3">
      <c r="E20" s="6" t="s">
        <v>38</v>
      </c>
      <c r="F20" s="6"/>
      <c r="G20" s="6"/>
      <c r="H20" s="6"/>
      <c r="I20" s="6"/>
      <c r="J20" s="8"/>
      <c r="K20" s="6"/>
      <c r="L20" s="6"/>
      <c r="M20" s="6"/>
      <c r="N20" s="7"/>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vt:lpstr>
      <vt:lpstr>1.0_1. tán_co_terminal</vt:lpstr>
      <vt:lpstr>1.1_2. Housing_top_lò_xo</vt:lpstr>
      <vt:lpstr>1.2_3. lắp_dao,_bắn_vít</vt:lpstr>
      <vt:lpstr>1.3_4. cắm_vào_hipot,_bỏ_</vt:lpstr>
      <vt:lpstr>1.4_5. xịt,_lắp_chèn,_dâ</vt:lpstr>
      <vt:lpstr>1.5_6. luồn_hdpe,_hộp_nhu</vt:lpstr>
      <vt:lpstr>1.6_7. bỏ_color_box,_dán_ke</vt:lpstr>
      <vt:lpstr>1.7_8. master_carton,_keo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Huy Hoàng Nguyễn</cp:lastModifiedBy>
  <cp:lastPrinted>2026-04-21T13:48:54Z</cp:lastPrinted>
  <dcterms:created xsi:type="dcterms:W3CDTF">2026-04-21T13:15:30Z</dcterms:created>
  <dcterms:modified xsi:type="dcterms:W3CDTF">2026-04-21T13:49:12Z</dcterms:modified>
</cp:coreProperties>
</file>