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guyenhoang88502\Desktop\WAHL NPI Side project\trimmer chrome pro\after\"/>
    </mc:Choice>
  </mc:AlternateContent>
  <xr:revisionPtr revIDLastSave="0" documentId="13_ncr:1_{19845C82-74B1-465F-9A07-A668DE38A0D3}" xr6:coauthVersionLast="47" xr6:coauthVersionMax="47" xr10:uidLastSave="{00000000-0000-0000-0000-000000000000}"/>
  <bookViews>
    <workbookView xWindow="-108" yWindow="-108" windowWidth="23256" windowHeight="12456" firstSheet="1" activeTab="2" xr2:uid="{42EAD104-1839-44A7-B967-4A720E177276}"/>
  </bookViews>
  <sheets>
    <sheet name="CB_DATA_" sheetId="3" state="veryHidden" r:id="rId1"/>
    <sheet name="CB_Batch_Fit" sheetId="2" r:id="rId2"/>
    <sheet name="Micro-Movement" sheetId="5" r:id="rId3"/>
  </sheets>
  <definedNames>
    <definedName name="CB_10ad6fe7ed714ecd8170251b030f3e9a" localSheetId="1" hidden="1">CB_Batch_Fit!$B$21</definedName>
    <definedName name="CB_1aef2e3249144ace9670ba69b11c4ebf" localSheetId="1" hidden="1">CB_Batch_Fit!$B$22</definedName>
    <definedName name="CB_1c0a11b5d2a6446fa11c507847482aa6" localSheetId="2" hidden="1">'Micro-Movement'!$S$27</definedName>
    <definedName name="CB_1f11006107474e56b4ddd07789755c40" localSheetId="2" hidden="1">'Micro-Movement'!$S$26</definedName>
    <definedName name="CB_203afd23ce7a435da6b41116b172ffc1" localSheetId="1" hidden="1">CB_Batch_Fit!$B$20</definedName>
    <definedName name="CB_21bf81bcfbe4441fb7160cf7157ba8f1" localSheetId="2" hidden="1">'Micro-Movement'!$S$34</definedName>
    <definedName name="CB_2a81c8aeaf494749b6bc55a5436d6b59" localSheetId="2" hidden="1">'Micro-Movement'!$S$8</definedName>
    <definedName name="CB_37ee7ac655b044c38cc013ab757fa7f2" localSheetId="1" hidden="1">CB_Batch_Fit!$B$19</definedName>
    <definedName name="CB_397512b59c4f4d96851a26163654aa2e" localSheetId="2" hidden="1">'Micro-Movement'!$S$3</definedName>
    <definedName name="CB_3b916bed209a407c9a2becf618d6a412" localSheetId="2" hidden="1">'Micro-Movement'!$S$5</definedName>
    <definedName name="CB_3ca9dd793e0a4d7d9d808f8d1ca5cbed" localSheetId="2" hidden="1">'Micro-Movement'!$W$5</definedName>
    <definedName name="CB_3ceef6d22505481ea98f803592a41701" localSheetId="2" hidden="1">'Micro-Movement'!$S$31</definedName>
    <definedName name="CB_454c9e4f29c14e2ab72dfb008c584610" localSheetId="1" hidden="1">CB_Batch_Fit!$F$23</definedName>
    <definedName name="CB_57646f4ca7244a6a82cd71ed642068e0" localSheetId="2" hidden="1">'Micro-Movement'!$S$17</definedName>
    <definedName name="CB_5c51b0ca977149a199cc49cf8b691653" localSheetId="2" hidden="1">'Micro-Movement'!$S$32</definedName>
    <definedName name="CB_5e545fd85d194ca588e7abe34686e779" localSheetId="1" hidden="1">CB_Batch_Fit!$F$21</definedName>
    <definedName name="CB_6c68f272ab624ad681e336ed40dd4823" localSheetId="2" hidden="1">'Micro-Movement'!$S$10</definedName>
    <definedName name="CB_750937135eb244fd9f56c253c7863369" localSheetId="2" hidden="1">'Micro-Movement'!$Z$10</definedName>
    <definedName name="CB_750ded8cbbe94596809382fb1ddee12b" localSheetId="1" hidden="1">CB_Batch_Fit!$B$24</definedName>
    <definedName name="CB_78f0b070170b4274a120ad249b799ce5" localSheetId="2" hidden="1">'Micro-Movement'!$S$9</definedName>
    <definedName name="CB_79965db3f9d94b649af049b3298f0794" localSheetId="2" hidden="1">'Micro-Movement'!$S$4</definedName>
    <definedName name="CB_84cb04405afc41f5996d04734404cc2a" localSheetId="1" hidden="1">CB_Batch_Fit!$F$20</definedName>
    <definedName name="CB_895402a2678b48d59b35482fe6dfac4e" localSheetId="1" hidden="1">CB_Batch_Fit!$B$18</definedName>
    <definedName name="CB_8c91486453f8440aa476525c5ec6b8ed" localSheetId="2" hidden="1">'Micro-Movement'!$S$35</definedName>
    <definedName name="CB_8dad2cac274c4d6cb93f550cb86f8730" localSheetId="1" hidden="1">CB_Batch_Fit!$B$23</definedName>
    <definedName name="CB_911d134502504d0ca52340f0769b02f1" localSheetId="2" hidden="1">'Micro-Movement'!$W$17</definedName>
    <definedName name="CB_9bd1ec51eec94c8b9b799a9b73d8ffb6" localSheetId="2" hidden="1">'Micro-Movement'!$S$25</definedName>
    <definedName name="CB_a36947dddcb64bfd97d56bff2a0c072c" localSheetId="1" hidden="1">CB_Batch_Fit!$B$25</definedName>
    <definedName name="CB_a7693c5b06d64d19a1ab0ca5290eb316" localSheetId="2" hidden="1">'Micro-Movement'!$S$30</definedName>
    <definedName name="CB_a832501495d34ea588a22ae68feee07c" localSheetId="2" hidden="1">'Micro-Movement'!$W$22</definedName>
    <definedName name="CB_b0b09f8f56104ffa942833400374d369" localSheetId="2" hidden="1">'Micro-Movement'!$W$35</definedName>
    <definedName name="CB_b68bf0e4a77f48309e83a92a2c838b42" localSheetId="1" hidden="1">CB_Batch_Fit!$F$22</definedName>
    <definedName name="CB_bdcc3b8371144e8a898665e7f01d14ed" localSheetId="2" hidden="1">'Micro-Movement'!$W$27</definedName>
    <definedName name="CB_Block_00000000000000000000000000000000" localSheetId="1" hidden="1">"'7.0.0.0"</definedName>
    <definedName name="CB_Block_00000000000000000000000000000000" localSheetId="2" hidden="1">"'7.0.0.0"</definedName>
    <definedName name="CB_Block_00000000000000000000000000000001" localSheetId="1" hidden="1">"'639132561618433408"</definedName>
    <definedName name="CB_Block_00000000000000000000000000000001" localSheetId="0" hidden="1">"'639132561618483385"</definedName>
    <definedName name="CB_Block_00000000000000000000000000000001" localSheetId="2" hidden="1">"'639132561618123496"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c5135f7afc464087bd57b4e73369dcc2" localSheetId="2" hidden="1">'Micro-Movement'!$W$10</definedName>
    <definedName name="CB_c7843996a70f4089896dfc053745f4e1" localSheetId="2" hidden="1">'Micro-Movement'!$S$22</definedName>
    <definedName name="CB_d293fbd1fe4945a4a90aa9980b499905" localSheetId="1" hidden="1">CB_Batch_Fit!$F$18</definedName>
    <definedName name="CB_d6adf15434024b6ab22e7c63026ef061" localSheetId="2" hidden="1">'Micro-Movement'!$S$21</definedName>
    <definedName name="CB_da575fe8d6224cc5b99b94ed960b58bd" localSheetId="2" hidden="1">'Micro-Movement'!$S$15</definedName>
    <definedName name="CB_e3393758d1c84eebab011866c0973899" localSheetId="2" hidden="1">'Micro-Movement'!$S$33</definedName>
    <definedName name="CB_edfc962bc3b249999ad93d0187203cba" localSheetId="1" hidden="1">CB_Batch_Fit!$F$19</definedName>
    <definedName name="CB_f1b1d70133ce4ba9a80503aeb28e2def" localSheetId="1" hidden="1">CB_Batch_Fit!$F$24</definedName>
    <definedName name="CB_f216ba01a19b4bc4a11292a0334c2c14" localSheetId="2" hidden="1">'Micro-Movement'!$S$2</definedName>
    <definedName name="CB_f5ff165892f04f1daff0e979c18a2d74" localSheetId="1" hidden="1">CB_Batch_Fit!$F$25</definedName>
    <definedName name="CB_fca901a4f6bd45f8a81a3a8c6c9d6354" localSheetId="2" hidden="1">'Micro-Movement'!$W$15</definedName>
    <definedName name="CB_fd786a23539b4be8ad0cd85e6a0c48c3" localSheetId="1" hidden="1">CB_Batch_Fit!$F$26</definedName>
    <definedName name="CBCR_9513218de3b4467a97fd5f5bf2b81a62" localSheetId="1" hidden="1">CB_Batch_Fit!$E$26</definedName>
    <definedName name="CBWorkbookPriority" localSheetId="0" hidden="1">-3636324078906170</definedName>
    <definedName name="CBx_874744e7fe2c4021803cc4fbf04fc0f4" localSheetId="0" hidden="1">"'CB_DATA_'!$A$1"</definedName>
    <definedName name="CBx_b7dd8bf725744cd9a1cf74f01b62ee14" localSheetId="0" hidden="1">"'Micro-Movement'!$A$1"</definedName>
    <definedName name="CBx_eef8217a3be6424bbc0df6f33a8a15c3" localSheetId="0" hidden="1">"'CB_Batch_Fit'!$A$1"</definedName>
    <definedName name="CBx_Sheet_Guid" localSheetId="1" hidden="1">"'eef8217a-3be6-424b-bc0d-f6f33a8a15c3"</definedName>
    <definedName name="CBx_Sheet_Guid" localSheetId="0" hidden="1">"'874744e7-fe2c-4021-803c-c4fbf04fc0f4"</definedName>
    <definedName name="CBx_Sheet_Guid" localSheetId="2" hidden="1">"'b7dd8bf7-2574-4cd9-a1cf-74f01b62ee14"</definedName>
    <definedName name="CBx_SheetRef" localSheetId="1" hidden="1">CB_DATA_!$B$14</definedName>
    <definedName name="CBx_SheetRef" localSheetId="0" hidden="1">CB_DATA_!$A$14</definedName>
    <definedName name="CBx_SheetRef" localSheetId="2" hidden="1">CB_DATA_!$C$14</definedName>
    <definedName name="CBx_StorageType" localSheetId="1" hidden="1">2</definedName>
    <definedName name="CBx_StorageType" localSheetId="0" hidden="1">2</definedName>
    <definedName name="CBx_StorageType" localSheetId="2" hidden="1">2</definedName>
  </definedNames>
  <calcPr calcId="191029" concurrentCalc="0"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5" i="5" l="1"/>
  <c r="W10" i="5"/>
  <c r="W15" i="5"/>
  <c r="W17" i="5"/>
  <c r="W22" i="5"/>
  <c r="W27" i="5"/>
  <c r="W35" i="5"/>
  <c r="Z10" i="5"/>
  <c r="C11" i="3"/>
  <c r="F26" i="2"/>
  <c r="F19" i="2"/>
  <c r="F20" i="2"/>
  <c r="F21" i="2"/>
  <c r="F22" i="2"/>
  <c r="F23" i="2"/>
  <c r="F24" i="2"/>
  <c r="F25" i="2"/>
  <c r="F18" i="2"/>
  <c r="B11" i="3"/>
  <c r="A11" i="3"/>
</calcChain>
</file>

<file path=xl/sharedStrings.xml><?xml version="1.0" encoding="utf-8"?>
<sst xmlns="http://schemas.openxmlformats.org/spreadsheetml/2006/main" count="179" uniqueCount="72">
  <si>
    <t>1. tán_co_terminal</t>
  </si>
  <si>
    <t>2. Housing_top_lò_xo</t>
  </si>
  <si>
    <t>I/O automatic machine</t>
  </si>
  <si>
    <t>4. hipot,lazer,_test_dây</t>
  </si>
  <si>
    <t>5. xịt,_chèn,_dầu_lưỡi,_blade_guard</t>
  </si>
  <si>
    <t>6. hdpe,_hộp_nhựa,_phụ_kiện</t>
  </si>
  <si>
    <t>7. color_box,_keo</t>
  </si>
  <si>
    <t>8. master_carton,_keo</t>
  </si>
  <si>
    <t>Data Series:</t>
  </si>
  <si>
    <t>Distribution:</t>
  </si>
  <si>
    <t>Best Fit:</t>
  </si>
  <si>
    <t>Anderson-Darling</t>
  </si>
  <si>
    <t>P-Value:</t>
  </si>
  <si>
    <t>Student's t</t>
  </si>
  <si>
    <t>---</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</si>
  <si>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</si>
  <si>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</si>
  <si>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</si>
  <si>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</si>
  <si>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</si>
  <si>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</si>
  <si>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</si>
  <si>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</si>
  <si>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</si>
  <si>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</si>
  <si>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</si>
  <si>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</si>
  <si>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874744e7-fe2c-4021-803c-c4fbf04fc0f4</t>
  </si>
  <si>
    <t>CB_Block_0</t>
  </si>
  <si>
    <t>㜸〱敤㕣㕢㙣ㅣ㔷ㄹ摥㤹摤㔹敦慣敤搸㡤搳㑢㐲㘹摤愶ㄷ㕡〷㌷㑥ㅢ㑡ぢ㈱昵㈵户搶㠹摤搸㐹㡢〰㙤挶扢㘷散㘹㜶㘶摣㤹㔹挷㉥㤵㈸㔰愸戸ㄵ愸戸愸愵搰慡㐲㤵㜸攱昲㔲ち昴〵〹〹㠴㕡〹㈱㜸㐰攲愱㈰〴て㈰ㄴ㠹㤷㍥㔴㠲敦㍢㌳戳㍢扢敢ㅤ扢摢ㄶ㕣攴㤳敥昱㤹㜳㥢㜳晥晢昹晦㌳捤㈸㤹㑣收摦㐸晣换㤴㘳攱捡戹㌵㍦㄰昶攸愴㕢慤㡡㜲㘰戹㡥㍦㍡敥㜹挶摡戴攵〷㔹㜴挸㤷㉣戴晢㕡挹户ㅥㄲ㠵搲㡡昰㝣㜴搲㌲㤹㐲㐱㔷搱捥㐹昸ㅢ㡣ㅦ㜴㡥敡换㈱㥢㥦㥣㤸㔹㜸〰戳捥〵慥㈷昶つ㥦つ挷ㅥㅡㅢㅢㅤㅢ扤敤昶戱昷㡤敥摦㌷㍣㔹慢〶㌵㑦ㅣ㜲㐴㉤昰㡣敡扥攱搹摡㐲搵㉡摦㈳搶收摤昳挲㌹㈴ㄶ昶摦扡㘰摣昶晥戱摢づㅥ㌴敦戸攳晤㝤㜸㜵收搴攴挴慣㈷㑣晦㉤㥡㔳攳㤲㙦㥢ㄲ㘵㡢㝢ㄳ挲戳㥣挵搱挹〹晣㤷㔸㍦㥥㙥ㅦ㥤㕢ㄲ㈲攰慢㠵㈷㥣戲昰㜵っ散戵挷㝤扦㘶㉦ㄳ㜸扡㝤ㄴ㕢㉤ㅢ㝥愰搹㤳愲㕡搵敤㜸搶㠲㍤〳搸㔵㡤戵㍥㝢㑥㌸扥ㄵ㔸㉢㔶戰㤶户攷㌱㔱愵摦㍥攳㡢搳㠶戳㈸㑥ㄹ戶搰散㘳㌵慢㤲ぢ㔳㈶㝢㘳㍣㐵㜲㘱㜲晢愳攳扥㍤戹㘴㜸㜲㐵㍥〱㤳搲昷愸㔷㙥敥扢户昳扣㕣扡㝣〳攷扣扥㜳㍦戴㥣㌵扣㝡捦㤱捥㍤愳捤㌷慦攰㤶捥晤ㄳ㌰㙡ㅥ㜳㔳攷㌱ㄲ㤴捤扤㤵摥㠸扥㈵㐴戱ㄹ㍤捦慣㠷㔹㠱ㄹㄱ愸ㄷ㤹昵㌲敢㐳愶攴晥〵㉥㐹づ㘴㤳㕡㌲搴搲㠲㕡㉡慢愵㡡㕡ㄲ㙡挹㔴㑢㡢㙡㘹㐹㉤㔹㙡改〱戵㜴ㅥ㝤攲㔴攸改㔱愳昴挸ㄷ㙦扤㙢敦㙦敦㍣昹愵攰挸搷晥昰㠱㝤㥦敥摢㠱㑥昷㐶㡢㥡昲㡣ぢ㈰戵〶ㄵㅦㄸ摤捦㝦ㅢ㜳〵㤸挲㍣㘸摥㙥㡥㡤㔵づ敥㌷㙥㌵㌴㙥㉢〵昹㑤㠴㌲㠸扥㝤收㝤㤶㔳㜱㉦㐸摣㕤㌹㘱昸愲〱戸㤱愸㙤挲慤㌹ㄵ晦㕤敢㌷捥〵㐶㈰昶戴戶㌵㈶㘹ㅢ㌶〷戶ㄲ扥㝣摦㔵慤挳捥ㅡ搵㥡ㄸ㕦戵挲收㜷户㌴摢戳㥥扢搰戹昵愸㈷ㅥ慣户戶慤㘸ㅣ㐲㙤㐵捥摤戶换戰㈹㕣搷昰攴㤲敢ぢ㐷㉥㙦挴㥥戵捡攷㠵㌷㈷㈸ㄲ㐵㐵㙥昵㔲㌶㐵㕣㍦㌲攳㘰愳攰搶捡戵挹㕡昳挸㙡〰㘶ㄶㄵ慣㜷㔹㜸挱摡扣戱㔰ㄵ㤷㌵㜵〹摦㠹㠶摤㑤搵㐷摤㜲捤㥦㜴㥤挰㜳慢捤㉤攳㤵ㄵ〳㤲愶㜲搲慤㠸㕣㉥㈳㠵〲〴㙥㌶慢㈸㤹㥢㍢昳㠲㐴㐴〲挵㘴攴㉢㥡挹㙥昴㌴㜶㠷㕤㔴〵㘹㔲扤㙥㠳挹戸㕥㈹㘳㔲㌸㌰戱㈷敡て扥昴㍤ㅢ㑣㕢挷摣摢摢㔹㔵㠷愲摤ㅦ㔹ㄱ㑥㜰摣㜰㉡㔵攱愵㙡㍦㠵㉢搲〷㤰㘹ㄷ㈱㄰㍡㐲㡦慡㑥㔹㔵搶戴ぢ㔶㈵㔸捡㉦〹㙢㜱㈹㐰ㅤ㌴㘴愱㐰搰戶㈵晤ㄲ㔴改㍢㤹つ㈱㉢ㄶ㌳昹㕤散㤴㉦㈲㘵㌴㑡愷ㄴ㕥㙥ㄲ攴ㅣ搷挴换㝤收㔱慢ㅡ㠸㔰㈸て㤸挰㐸愸搵㈴晡晡㐹愲㥥㔱づㄵ挶㉥㜳ㄲ㔴㙡㔸㑥戰搶攰摢㌶㉥〹㠹㘸㕢ㄶ㙣㌹㔹㐰㔱搰㉣て㔲㜸つ㐴搳㈲つ搲㍢㈷㠸㠸㙣㤰愲搹㌱㜳㌳㤱戱㝦㡡㡣㐰晦㈴ㄱ戲昷晥捥㌲㠲挴摥㑥愴ㅣ搴㤱ㅦ户愵搹㝡戶㝣㈸捤㉥〵攰昴换㤸㕤捥散ち㘶扢㤱㈹㝦㠵㠴愳㤴㐳戹㌹改敦挲戳㝥㈵戳㜷㈳㠳㝣搲㈹㜳㈲㔱㐵ㅢ㙡㌳㜶㈴晢昵挳㑥㤶㐶㜱㈸㡡㘸ㄹ搷敤捣㝥㕢㈲㍡戲㍡户㠶慥捤㐹ㅤ㝢㐳㘷摡㑣㙥㠷ㄴ㤹搲㌵戹搷つ扡㈶〱挱慥㕤敡慤慢㌱㔴ㅦ㘶㜶つ戲愲㝥㉤㜳㈸ㄷㅡ扣㥢戳攸㘹㔲扥㈳捣愲搰ㄸ敡㔲挱㐷㠴捣㈳㐰㡡㤰㙢㍢扥㙣摢搰㌴〷㐷捣㜷扣つ扤慦㌳㝦㐷㐸㙦搱㥢摢㝡㠷晥愲㌷㘸㐵敦〵㝢㈹㝦散愸㘳慥㐷戳㝥〳戳ㅢ㤱戵攸ㄸ㥥扥摦愸愷㐰㥡挵㜶〲㜳㍢改㜵㤱㔶敥晣摡戲㤰ㅡ愸捦㥣㌷扣㐵ㄱ挰㠳㜱㘲ち戶戰敢㜹愲㡡㐳㙤㐵㔶昰晣㜲㜹㜳愵㝦搴㜳㙤搶㙦摢挸晥㍢㐲㌱攴㜲㙡㌶搳㘲㈳愷搸㥡〹㥦㔳㠲㜲愸㠳㙦敤㉣㈴ㄲ㠳㥡挹㡢攳搲捦㤷摢㤲愴ぢ㐹㜲ㄳ挰慡摦㡣っ㔲㐲昹㝤㐷㠹戲㡦摤摥㉢扢㌵㕢慣昴昰愵㥣㑥㕡㝣㠸㙤㜲愴㌷㜴搸㑥挰㝦攰昷摢㜳㤶㕤ㄷㄶ扤昶慣昰捡昰㉤㔸㔵㔱っ摤戲ㄴ㌵摢戲攲ㅤ㈲㉢戲搹戶昳㜴㡡㝦㑤搲㐹㡢㤴㐸攵昶搴挶㤴戳㜸㠳愸攸㠶愴㔰㐹㜱つ搵㈵㄰㈹㡦㝤户㐵㑣ㄷ㈲收ㄶ〰㑥摦捦㙣㡣搹〱㘴摡㉢㤰㌴㥢〵㍣挳㘱㍤㉢㜴㘹㤷㑡㤹〲搱㈰㕤㠴㉦㜷ㄴ㔶〷昹㥡昷㌱扢ㅤ㔹㡢昹㐳〷㘴ち㈱㑡㤴㈷〸㔱㠶㌱捣戳㤶戸㐰ㅡ搸㘱㈲戰㌴㔹昳〳搷㘶㘴愹摦㥣㜲㑦戹挱㤴攵㉦㈳ㄲ㌵㘴㐶㠵晢㤶㠴〳敡昲㘰晢戴搴戹换换愲愲㥢㜳㙥つ愲敤挴搴㔶㌸㤸〳ㅣ戰㈵攵搹㕣㔵㤰扡㍢ㅦ㘳ち〵㤰㤶晥㔶㝡㘳㌷攵晤收愱㙦愰〱搱㜹㉢愸㡡㕥㌳㘴㍡㤶ぢ㈶愰㠸挸㐱愵挷㥣㕦昲㠴㤸敡㌷㡦㜹㔶愵㙡㌹㠲挸㠰㡤挹㘰摤戴㔸㐴㤴㘰搶㘵っ搰㜵晡捤㜹捦㜰晣㘵㠳〱挵戵㥤㑤㑦㌲㉣愲㤹ㄳ㤶攳攳㌵ㄲ㡢㉣て㤸㜳㑢敥〵㐴㙣㙢戶㜳捣㔸昶户〴㔶㐸昴㘱㤲愸㔱㔴㐵㔵㤵㠲㕡攸ㄶ㍦㍣㤰㘷㌲攴扤ㅣ㌳㠹慢㡣㐶㥦㜹㡡昶愶㕤ㅦ挵㘸㘸愷㜳㑤㝤㠸ㅥ搵㉢戳愹㔲㤸㥣慡摦挱㌱㜷㈲扢晢搸㤹ㄳ㡤挸摣㥢㡡㔹㙢昴昲愷挸㜸㐹ㄶ昵㐰〸㝤㜴㍢㐲㔲㘱ㅤ㈹〷ㅣ〸㡣昳愹㤵晣㡡愶散㐳敡摢搱㈸ㅥ㐵㈴愹捦㥣㌶ㄶ㐴ㄵ昱㘸摢〸㜶㠴て㌴㘳㙤愳敡㐷㙤㤳慥㙤ㅢ㈴㉤㤲攵㕣搹㈰〵㡦搷〲昷愴攵攸㈶㌲㐹㝦㔱㤵戱㡡㉡㘳㔵㔶昵㤹愷ㄹㅡ㤴㘵捥攵㉥ㅡ㥥ㄵ㉣搹㔶戹挰〷㠶敦戶〴㑤㠲挹㈹㜹攳ㄴ换㡣攱ㄶ㙢晥っ㑣㌶㝦ㄴ攸ㅥ㠵ㅣ㈵攸㠸㝥㔰慥慡攴昱㑦改搲戱〴〱㈳㍤愵晡〷㌱㥢㈶㙦㐷㐰攴挸㜴㌱扥㠳㜱昱ㄳ愸〹㠵㄰戱㥥㐲㈲昰ち㈶㠴㍣㕤摣㜹昳㡣㘳〵挰ㅥ㌱㜶搴ち愶㝣愰ㅣㄹ㡡昲㜸扢㐷㘲㌵㌱㘸愴慥ㄵ慥㙥㙦㙡㔲ㄳ㔷戵户㈷昵挶㜵敢㌴㠷ㅡ㈵愱㐸㌶敡㈴㌵换㍡㙢摣㑡慡㐶㤱㡡㍢搶㌶㑡㥡摢戴〱㜷㑡㤱㌷愱㤸㈴捤㘴昴て㐹㐲㐱愰㌷搲㔱昴搹愷㤳㐷㈲㘲㐳ㅢ愰㐸㍤ㄵ搶昵㐷㈱挱ㄳ戸㜶㔲ㄱ挵攸〹晣扤㈳㉡捥搴㠲愶ㄶ㘳㜵㈸㙡ㄹ慦㔶㘷ㅣ㔸〹㘵挳慢㙣ㄱ㤶挶摥㐲つ㈳戹戳㕢敤ㅦ㠲㌷挱㠸ㄱㅢ㌲㉣㤲攲〷〶ㅢ㠲戹ㄲㄱ㔵㕡㘷晤〴㜵扤扡挰愷㤳挲㜰㈴〶收㠲捡㤴㔸㤱㘶㔸挳㤲ㅦ㤲〳敡愷㐵㈹㐷㜵㜳㝣挱㠷㑡て㈸挷愳㤲㘴㜰摤㍣㑤户ㄴ㉥㌱㐰散㐶愵搹㜲㠰搰㙥㝤〲㥥っ戶づ㜶〰㤱㌰㜴㐲敢㡣ㄲ㌴㥦㐲戸捤㥢㈰敦㜴㠹㔱〸㔲㔳愶㝦ㅥ㔶㥥㝡㤲改㝢㠷㌳㜱㈱㘲㈲㠶扢㔲慣〷㈰㌷ㄹ㤹㈴ㄷつ挵〱昳㔰戲㐹愱搵ㄷ搷搱挴攸愷挹攷〵戸挵挳㔸搶〰搹愶㡡㝢㙥㠱〵㙤㕡㕤摢㘱㥥㜰捡搵㕡㐵㐸㔵ㅣ换㙡愹㤱户〴扥攴ㄵ挰㤰㥢㔲攰ㄲ〱攵〴㡥㔲摣㌲㤱搴扤摤慤ㅦ挶㜰㈹攴㌰㐷愸晡ㄸ㠰㑣㜱换挹㠰㔸摢㍤〵摡㠷㍢ㅢㄷㄸ攴攵㌹㠸戴戶㉡捡戲㘹摣挷慢㐷㤱㈵户㈵扡㑤扢搳㉥㙤昶㐴搵㜱㉢慣摡ㄲ㌸挲㍥㐳㠱㤷捦挳ㄸ改㤲㍢㌸㐹收㘲ㄴ摤扤昸〹昹㤸戹〸㔴㐸っ㈸㡣昱昲ㄴ㤴〱㔴挱㐸㌴戸搵㠶搵慤㌰晡㑢换㕢ㅦ㐷愶㌰っ㑣㠳ㄶ㍤㐳〳㘷ㄲ攵㡤つ㥣慢搱㉢㈵㐲㥡っ愶㌲㐶㌹〴㠷㍤㤰〶㙥攲㐱㝡摥㠵ㄲち㜶挹㡢㘱昱摤挴ㄱㅢ㐷㈰搷扢慣愵㜲搶〸㜰晤挵搹摤㔲㍤㕥愹搰摣㠵㝦㙥㑢㘰ㄵ㔷㌷㐲㜳㜴㔷换愵㉣戹㈷摡㜷㝢㕢ㅡ愲换㠲〷愶㐶㡦ㅢ㐱㜹㘹㉥㔸ぢ㉦㙥㜵㑢ㄲ摡㑢昰㐷慣晢㜶摡捣㌹㠷ㄷ㔱㔷〸晢攲㜹挷扤攰挸㜵㘹㍥㙦晤㠱㐲㜰㠵戲㠷㡢㉣㘶晥㡤㝦㌲愹ㄹ敤㘷㤸㜱㌳换收〴つ〷〹攷㤱㈹㤴〶挳㈸愷搰〹㙣昷晡慤〱搲挹慥ㄶ㍡㤱㠲㘰㥢㔰㥣挵户㡣㔰㤴㥦〲慤㈴㤶昰㐸づ㤸㍦て搶㔷㝥㠲ㅡ㈲ㅣ捦㤱ㄸ搱慥㐱㈹〵㜵㔲㤰㐷㔷㍣㜸㈱攴晦〷㑢㌱㌷慦换㑥晦〵㘶㔶㕥㙣㐵搱㔵㐴搱㡦摢㔰愴昰ㅡ㠸攴摦扢愳〲ㅦ㌴㠶㘷摦㔰㈰㥣㝢摡㍥㠰扥敤ㄷ㝥晦㠷〷搰㘹㘰㤸㐹摡㘸〸戵㕤㡦㜲摤㐴挸戶㤹〸っ摥㑢ㄳ攱㈴挷㌰㡡ㅦ㥡〸㤱て㘴〶ㄵㅢ㥢〸㡣敤愵ㄸ㠲㠹㔰㙢挲慤挱ㄳ搸㘵㌶晤㘳挷㜱昱㔶昸㠸攷㐳㘹昹㤳昰㐸㕤摥㕥㍤㙢㜸㠶扤㕢搶ㅦ昳〴㤴㤹㌷㡦㥢摣㜲〸㐷散㔹户㐵づ㕡挷㔷ㄱ㝢搹户晤㈹㥢扢扦づ㑣㠵㈹㜴摦㉢〵㈵晦㈶㍣㈵ち捦つ㤹㡦敦晡晥戱㍦㍤昴攸㘱摥㔶㡢㘸㔵扢ㄹ攵㙥㐲昶戴㈷㄰搴㑤㕣ㄴ戹㤴ㅦ收㥣挴㈷㑡搶㜲㔵㑣ㄸ㥥戴㠲㝣摤㡥㡢㈱攱㈵〸㌳㈴扥慤㘰㘲攲摥㐳㘸㘲㡥戶戸㍢攵㠷㑤搲㐵㌸㥡㔸戸昴改挵㘱㐳愵愳㈲敢搲摡搴㝥〸㔵昴〶ㄷ搲㙣㈵昲搴挹愴㈸㍦㘸搵㜵〷愹敢挲㠳っ挳晥戱㤴㐲晣㠱ㄴ㤲㍣挸昰㐲㠰㤴㔲愷㔱搰㙥㐱㤶ㄲ㔹㙢つ昱搲ㅦ戰㉤〴㐴晤搲㕦㤷ㅦ戱〰㡡挰㘲散㡢敦昶㐴㑢㕢㌴㔶㑤っ搵㑡㥢㘶づ〵㜹㜸㘱挵㔸㕣㍢㡦㐲㥣戴〳㈸㙤摡ㅤ挵㤷昴摢㘱攰㉤㘴㙣捤愶慦慤㘸ㅦ㜱㙡戸昹〱㍤㤳㤷ち挳搹挹㙡ㅣ㐸㘵㡣㉥散㕡っ慢㤸て㠴挵晡愰摥愸〹㍡换搹㡤㔳㈹㠲㝦晣㔲㠸敤㈳㡤愹㉦㙤㙤愱㡥㜳㝡戰㐱晥㘰㝦㕤㤵挲搸㜸㉢㌹〶ㄲ㜶㔳扤ち攱昵昰㌳ㄸ挲㑤㘷ㄴ扤㔱㤴捦捡㐱晣㠹㌹㉢慢戶改㝦㐶慦㈵㘷㥤攵㘸㠶戱㥢昴晦晤愸搸㔰晦㉢㡣扤㐹㐴㝥㌸㉡㐸攳㤴昱㤳つ㐳㌶㠴〸㍣摢〸摥挸㠳戱㉥㡢っ㜹㠷愵㌹㝣扣ㅡ㌶㑢〹づ扦㔷慥昵㙡㐴㝤㉣㙤摢摥㡥〲㤰戱㈱敤㜹㠸愰㡥攳㥢攵㔶㝣扡捤㝦〴〳㜷㥤戴捡㥥敢扢㘶㌰㍣㠷愰敦㌰扦㍤㌳㘱昳㡣㉢摦㙤ㄵ㙡㝢〱㠹扥㡦㘱捣愹ㄹ〸散㔳㈲㜸慢㘲㤱㡣㉣㙣㉥㤲挱敦㤰〶ㄳ攱㈵㙡〷晦ㄲ昳摥㥡㔱挵愷慢㌳昰㜵〶慣摡ㄲ捡㉥昴㌸户摥搰㈰攸㜰㐷敢ㅥ昸㠳㐴㜵ㄴ挱㌱戹㠵㡦㝣㡣㜰㙤㠵㐱㜳摦㘸㙦㍥㝢㜶攷㜳㉢㙡捦〱愷㥢㝢㑢㌳挹昰㥤晣㈲戹愸㤷㤸攳搲晥㘱晣摤扣㠳㤶戳つ㠱捥愳て扡改〸ㅢ愹挲㝤戶㠹攸昷㌹っ㔵挶㤹攱愷ㅢ㔱㠱てち扤㝣㘴㐵攵㍢搸ㄶㄹ〰攵㑣扥㡣慣㌳㔵㍦扤ㅥ㔵て摥㡤㌱攴㔷㕤㈰敢捦㉡㍣㙡㤰㉡㡢捡㔳攸㑦愸㠵扢㕦㘴ㅤ㡥ㅥ昲㐸㠱戲㥥㤴攴ち㡦ㄴ㜲㍤摦挴㠰晡㝡ㅥ㐰㙤攷昵㝣㝤扤昵㈸㌴〶攴㝥㤳昳て挶捡㐴户昹㙡㠷㤹换㙣ㄹ搹㘰摣㜳㠰㘲㤲㝢挹㠷愱㠶㥦㄰㔳㐸扦㠹晥扥㝡昸㤵㤷㤹晥㜱㔸㤱㠲ㄱ㑤捤扢愰㘰㤴扢㜸㍣戹ぢㅦ戵㥤㜷昱挵昵㜶㌱㐸㤹㈹愱㕡㐳〱㔰㉤攱㡦摣搵ちち〴㈸㝦捡㌹㘶昸㌵慤㘲搰㐰㡤ㅣ扢㡡㐲㝦㔶㈳㘲㍥搰㔹扢搰㜸㡣㍦㠵㐵㜰愰改㥢搷㈳昸㠶㜵㡤搱敥㉣㍥攱搷愴㉡捣愹㜷㜶㌷㔷㙣㡥㔲㤳㘹㡦㘱搷㙦㘲ㅥ㙥扡攱㜳攴㡣㝢昰㉢挰㜲㈴㤹㐹㤰㍣㠴㐲っ㈸㡤㔸㑦昹戲㐹ㅡ㠷扣〵㑡㐷㔶㍥昴㐴攷㐳㤳愰㘰㐷㉥攸㉤㈱ㄸ戱㈵㝥㉡摣㔱㥦攵扢扣摥愰㝣㈶愶挲攳挷攳捦挶搴㈸攰〶㉥〸捤㜱㜲つ〱愹㍣ㅡ㜷晥搱ぢつ㝦㌱ㅡ㤰挰㉡㘱㘷㜲㤷散晣改戸昳〱㝣㤲㈶晢㘴㐸㔰㑣慦挶㥤挹㠵戲昳愷攲捥㝦㍦戰扢摥㌹㘶扡㜰㘶㡤ㅣ㤱㘲攸换愳㑦攲昳昴〱㜴搷㑣ㅡて扤㘶㔸㑤㐲㤴㜱昳慡㌴ㅦ晡㜰ㄳ挶挳〷攲搳戸搸㠵晢㉦搰㌰攱晦㈷攲〴㉥㝣㑤ㄹ㠱㠱敦扦㔷㄰㘹昷㜴昹挴挱㜹㜳挶㐳㐵㡦㜹挲挷㠱戲戲愵㐸〴戶㔰㉥㠴敦〶ㄱ㠹ㄴ扢戹〱㡦㌸㐲愸昲〲㑤㜷㥡㔳㐶㤵㜲捡㈳㌱㘶㌳㡦㌴㘸㐶晦㈴㤰〳㥤㠰㥣〵晤㔳挸挳㈸搴㉥㔶っ㔲搸㐹㐹昶㈸ㅢ㍥挳散戳挸㡡ち㈵ㅢ改㈰晦ㄸ戲㠱昸晦搲㌱扣㈲㥤㐵慡戲ㅡ扦㉣㐹㐶晡攷㌸攰昳挸戲昰㕤㉢ㄱㄱㄶ昵㉦愰㈶昹㔲ちづ昹搲㉦戱攱㜱㘶㕦㐶㔶搴戸搸㑤㐳㡤㝢敡㔲㙤㝦〵㐳ㄵ㠲㠲㜳攸㕦㡤ち㝣㔰〸〷㡡㜳挵挱づ㈹㐳愹㙤ち㙡㕥㈱㙣㘴㠳ㅤ㌵ㅣ㤲つ㡡㐲㜸挹㠶㙡搴㐰㕤愶㝦ㅤ㤹㐲㜸㜰㑦晡㌷昸㐴㌰挸ㄷ㝥㌳㉡挸ㄷㄲ〶㜲昸㔲换ぢ〹ㄷ搹戰搸昲㐲挲㑡㌶㤸挹ㄷ㝥㡢㤳捡㡤愱搰慣慥戸㐱〹敦㙦愳搰㥦ㅤ攰摡敥挳㑦㕤㔵捡攷㉡攷捥扤㌶㤰ㅢ摥㤳扢晦慥扥㈷㕦晤昵㥦㥦昸摤㐷て晤敤昵愷㥦晥摤㕦㥥㜸昹昵㤷ㄶづ晤昲戹攷㝥㜱昷㌳㉦晦㜹愷昹慣晡挲㙢搳捦㍥㍣㜶晥攱〷捤㌳㌷ㅦ㝢昸挳て摣㍢㌶㝢挹㐸㌶摢搳㜳攳搰慦慥㜸捦攰㈳て扥愸晣晣て㤷㍢㡡摣㉥㕥搰扣っ㙥㕢㉥攳ㄹㄴ戰っ慥昸㙤㕤〶户㉢〱㜵㉥〲搴〴㉡愸挲戸〰搹㔰㙡㙥攸晤て慡昷扢㈵</t>
  </si>
  <si>
    <t>Decisioneering:7.0.0.0</t>
  </si>
  <si>
    <t>eef8217a-3be6-424b-bc0d-f6f33a8a15c3</t>
  </si>
  <si>
    <t>CB_Block_7.0.0.0:1</t>
  </si>
  <si>
    <t>Min Extreme</t>
  </si>
  <si>
    <t>㜸〱敤㕣㕢㙣ㅣ㔷ㄹ摥㤹摤㔹敦慣敤搸㡤㤳戶㐹㙦㠶㔲ち㜱㜰攳戴改つ㐲昰愵㐹㕣㥣搸㡤㥤戴〸搰㘶扣㝢挶㥥㘶㘷挶㥤㤹㜵散戶㔲㑢㘹㐱摣愱㔲㈹㠵㜲㔱㠵㤰㜸㠱昲挲晤〵〹〱㐲㐵攲〱ㅥ㤰㜸〸〸挱〳〸㐵攲愵て㐸攵晢捥捣散捥敥㝡挷敥戶〵ㄷ昹愴㝢㝣收摣收㥣晦㝥晥晦㑣㌳㑡㈶㤳㜹〵㠹㝦㤹㜲㉣㕣㍢扦敥〷挲ㅥ㥤㜴慢㔵㔱づ㉣搷昱㐷挷㍤捦㔸㥦戱晣㈰㡢づ昹㤲㠵㜶㕦㉢昹搶挳愲㔰㕡ㄵ㥥㡦㑥㕡㈶㔳㈸攸㉡摡㌹〹㝦㠳昱㠳捥㔱㝤㌹㘴ぢ㤳ㄳ戳㡢て㘲搶昹挰昵挴挱攱㜳攱搸愳㘳㘳愳㘳愳户摤㌱㜶晢攸愱㠳挳㤳戵㙡㔰昳挴㔱㐷搴〲捦愸ㅥㅣ㥥慢㉤㔶慤昲晢挵晡㠲㝢㐱㌸㐷挵攲愱㕢ㄷ㡤摢敥ㅣ扢敤挸ㄱ昳慥扢敥散挳慢㌳愷㈷㈷收㍣㘱晡慦搳㥣ㅡ㤷㝣摢㤴㈸㕢摣㥢㄰㥥攵㉣㡤㑥㑥攰扦挴晡昱㜴挷攸晣戲㄰〱㕦㉤㍣攱㤴㠵慦㘳㘰慦㍤敥晢㌵㝢㠵挰搳敤攳搸㙡搹昰〳捤㥥ㄴ搵慡㙥挷戳ㄶ散㔹挰慥㙡慣昷搹昳挲昱慤挰㕡戵㠲昵扣扤㠰㠹㉡晤昶㔹㕦㥣㌱㥣㈵㜱摡戰㠵㘶㥦愸㔹㤵㕣㤸㌲搹㥢攳㈹㤲ぢ㤳摢ㅦㅤ昷敤挹㘵挳㤳㉢昲〹㤸㤴扥挷扤㜲㜳摦ㅢ㍢捦换愵换㌷㜰捥㥢㍡昷㐳换㌹挳慢昷ㅣ改摣㌳摡㝣昳ち㙥改摣㍦〱愳收㌱敦散㍣㐶㠲戲戹户搲ㅢ搱户㠴㈸㌶愳攷㤹昵㌰㉢㌰㈳〲昵㈲戳㕥㘶㝤挸㤴摣扦挰㈵挹㠱㙣㔲㑢㠶㕡㕡㔴㑢㘵戵㔴㔱㑢㐲㉤㤹㙡㘹㐹㉤㉤慢㈵㑢㉤㍤愸㤶㉥愰㑦㥣ち㍤㍤㙡㤴扥昴㜲昵扡㕦㑣㍦㍣晢攲㡢て㍣㜲昵挱㑢〷晡㜶愱搳㝤搱愲愶㍣攳㈲㐸慤㐱挵㠷㐷て昱摦收㕣〱愶㌰㡦㤸㜷㤸㘳㘳㤵㈳㠷㡣㕢つ㡤摢㑡㐱㝥ㄳ愱っ愲㙦㥦㜹扦攵㔴摣㡢ㄲ㜷搷㑥ㄸ扥㘸〰㙥㈴㙡㥢㜰㙢㑥挵扦㘶攳挶昹挰〸挴晥搶戶挶㈴㙤挳收挱㔶挲㤷敦扢扥㜵搸㌹愳㕡ㄳ攳㙢㔶搸㝣㕤㑢戳㍤攷戹㡢㥤㕢㡦㝢攲愱㝡㙢摢㡡挶㈱搴㔶攵摣㙤扢っ㥢挲㜵つ㑦㉥扢扥㜰攴昲㐶散㌹慢㝣㐱㜸昳㠲㈲㔱㔴攴㔶昷戲㈹攲晡㤱㔹〷ㅢ〵户㔶摥㥡慣㌵敦㔹ぢ挰捣愲㠲昵慥〸㉦㔸㕦㌰ㄶ慢攲捡愶㉥攱㍢搱戰慦愹晡戸㕢慥昹㤳慥ㄳ㜸㙥戵戹㘵扣戲㙡㐰搲㔴㑥戹ㄵ㤱换㘵愴㔰㠰挰捤㘶ㄵ㈵㜳愰㌳㉦㐸㐴㈴㔰㑣㐶扥扡㤹散㐶捦㘰㜷搸㐵㔵㤰㈶搵户㙤㌲ㄹ搷㉢㘵㑣ち〷㈶昶㐴晤挱㤷扥㘳㤳㘹敢㤸㝢㘳㍢慢敡㔰戴晢㝢㔶㠵ㄳ㥣㌴㥣㑡㔵㜸愹摡㑦攱㡡昴〱㘴摡㘵〸㠴㡥搰愳慡㔳搶㤴㜵敤愲㔵〹㤶昳换挲㕡㕡づ㔰〷つ㔹㈸㄰戴㙤㐹扦〲㔵晡㙥㘶㐳挸㡡挵㑣㝥て㍢攵㡢㐸ㄹ㡤搲㈹㠵㤷㥢〴㌹挷㌵昱㜲㥦㜹摣慡〶㈲ㄴ捡〳㈶㌰ㄲ㙡㌵㠹扥㝥㤲愸㘷㤴㐳㠵戱挷㥣〴㤵ㅡ㤶ㄳ慣㌷昸戶㡤㑢㐲㈲摡㤱〵摢㑥ㄶ㔰ㄴ㌴换㠳ㄴ㕥〳搱戴㐸㠳昴捥〹㈲㈲ㅢ愴㘸㜶捣摣㑣㘴散㥦㈲㈳搰㍦㐹㠴散㝤愸戳㡣㈰戱户ㄳ㈹〷㜵攴挷ㅤ㘹戶㤱㉤ㅦ㑡戳扤〰㥣㝥㈵戳慢㤸㕤捤㙣ㅦ㌲攵慦㤰㜰㤴㜲㈸㌷㈷晤ㅡ㍣敢搷㌲扢づㄹ攴㤳㑥㤹ㄳ㠹㉡摡㔰㕢戱㈳搹慦ㅦ㜶戲㌴㡡㐳㔱㐴换戸㙥㘷昶摢ㄲ搱㤱搵戹㍤㜴㙤㑥敡搸户㜷愶捤攴㜶㐸㤱㈹㕤㤳㝢摤愴㙢ㄲ㄰散摡愵摥扡〱㐳昵㘱㘶㙦㐱㔶搴摦捡ㅣ捡㠵〶敦搶㉣㝡㥡㤴㙦ち戳㈸㌴㠶扡㔴昰ㄱ㈱昳〸㤰㈲攴摡㡥㉦㍢㌶㌴捤挱ㄱ昳㑤㙦㐳ㅦ散捣摦ㄱ搲㕢昴收㡥摥愱扦攸㔵㕡搱㌷㠲扤㤴㍦㜶搴㌱㌷愱㔹㝦㍢戳㥢㤱戵攸ㄸ㥥扥㕦慤愷㐰㥡挵㜶〲㜳扢改㜵㤱㔶敥挲晡㡡㤰ㅡ愸捦㕣㌰扣㈵ㄱ挰㠳㌱㍤〵㕢搸昵㍣㔱挵愱戶㈲㉢㜸㝥戹慡戹搲㍦敥戹㌶敢㜷㙣㘴晦㑤愱ㄸ㜲㌹㌵㥢㘹戱㤱㔳㙣捤㠴捦㈹㐱㌹搴挱户㜶ㄶㄲ㠹㐱捤攴挵㜱改攷换ㅤ㐹搲㠵㈴㜹㈷挰慡ㅦ㐰〶㈹愱晣扥愳㐴㌹挸㙥敦㤲摤㥡㉤㔶㝡昸㔲㑥㈷㉤㍥挴㌶㌹搲ㅢ㍡㙣㈷攰㍦昰晢敤㜹换慥ぢ㡢㕥㝢㑥㜸㘵昸ㄶ慣慡㈸㠶㙥㔹㡡㥡ㅤ㔹昱㈶㤱ㄵ搹㙣摢㜹㍡挵扦㈶改愴㐵㑡愴㜲㝢㙡㘳捡㔹扣㐱㔴㜴㐳㔲愸愴戸㠶敡ㄲ㠸㤴挷扥㍢㈲愶ぢㄱ㜳ぢ〰愷ㅦ㘲㌶挶散㌰㌲敤㌷㤰㌴㕢〵㍣挳㘱㍤慢㜴㘹㤷㑡㤹〲搱㈰㕤㠴㉦㜵ㄴ㔶㐷昸㥡摢㤹摤㠱慣挵晣愱〳㌲㠵㄰㈵捡ㄳ㠴㈸挳ㄸ收㌹㑢㕣㈴つ散㌲ㄱ㔸㥡慣昹㠱㙢㌳戲搴㙦㑥戹愷摤㘰捡昲㔷㄰㠹ㅡ㌲愳挲晤换挲〱㜵㜹戰㝤㕡敡摣㤵ㄵ㔱搱捤㜹户〶搱㌶㍤戵ㅤづ收〰〷㙣㐹㜹㌶㔷ㄵ愴敥捥挷㤸㐲〱愴愵扦㤵摥搸㉤㜹扦㜹攸ㅢ㘸㐰㜴挱ち慡愲搷っ㤹㡥攵㠲〹㈸㈲㜲㔰改㌱ㄷ㤶㍤㈱愶晡捤ㄳ㥥㔵愹㕡㡥㈰㌲㘰㘳㌲㔸㌷㈳㤶㄰㈵㤸㜳ㄹ〳㜴㥤㝥㜳挱㌳ㅣ㝦挵㘰㐰㜱㝤㜷搳㤳っ㡢㘸收㠴攵昸㜸㡤挴㈲换〳收晣戲㝢ㄱㄱ摢㥡敤㥣㌰㔶晣㙤㠱ㄵㄲ㝤㤸㈴㙡ㄴ㔵㔱㔵愵愰ㄶ扡挵てて攴㤹っ㜹㉦挷㑣攲㉡愳搱㘷㥥愲扤㘹搷㐷㌱ㅡ摡改㕣㔳ㅦ愲㐷昵捡㙣慡ㄴ㈶愷敡㜷㜱捣摤挸敥㍤㜱㜶扡ㄱ㤹㝢㑤㌱㙢㡤㕥晥ㄴㄹ㉦挹愲ㅥ〸愱㡦㙥㔷㐸㉡慣㈳攵㠰〳㠱㜱㍥戵㤲㕦搱㤴㝤㐸㝤扢ㅡ挵攳㠸㈴昵㤹㌳挶愲愸㈲ㅥ㙤ㅢ挱慥昰㠱㘶慣㙤㔴晤愸㙤搲戵㙤㠳愴㐵戲㥣㉦ㅢ愴攰昱㕡攰㥥戲ㅣ摤㐴㈶改㉦慡㌲搶㔰㘵慣挹慡㍥昳っ㐳㠳戲捣戹摣㈵挳戳㠲㘵摢㉡ㄷ昸挰昰摤戶愰㐹㌰㌹㈵㙦㥣㘲㤹㌱摣㘲捤㥦㠵挹收㡦〲摤愳㤰愳〴ㅤ搱て捡㔵㤵㍣晥㈹㕤㍡㤶㈰㘰愴愷㔴㝦て㘶搳攴敤〸㠸ㅣ㤹㉥挷㜷㌰㉥㍦㠶㥡㔰〸ㄱ敢㈹㈴〲慦㘰㐲挸搳挵㥤㌷捦㍡㔶〰散ㄱ㘳挷慤㘰捡〷捡㤱愱㈸㡦户晢㈵㔶ㄳ㠳㐶敡㕡攱㠶昶愶㈶㌵㜱㝤㝢㝢㔲㙦扣㙤㠳收㔰愳㈴ㄴ挹㘶㥤愴㘶搹㘰㡤摢㐹搵㈸㔲㜱挷摡㐶㐹㜳㥢㌶攰㑥㈹昲ㅡㄴ㤳愴㤹㡣晥㕥㐹㈸〸昴㐶㍡㡡㍥晢㜴昲㐸㐴㙣㘸〳ㄴ愹愷挲扡晥㈸㈴㌸㡤㙢㈷ㄵ㔱㡣㥥挰摦扢愲攲㙣㉤㘸㙡㌱搶㠶愲㤶昱㙡㜵搶㠱㤵㔰㌶扣捡㌶㘱㘹散㉤搴㌰㤲㍢扢搵晥㈱㜸ㄳ㡣ㄸ戱㈱挳㈲㈹㝥㘰戰㈱㤸㉢ㄱ㔱愵㜵搶㑦㔰搷慢ぢ㝣㍡㈵っ㐷㘲㘰㍥愸㑣㠹㔵㘹㠶㌵㉣昹㈱㌹愰㝥㕡㤴㜲㔴㌷挷ㄷ㝤愸昴㠰㜲㍣㉡㐹〶搷捤㌳㜴㑢攱ㄲ〳挴㙥㔴㥡㉢〷〸敤搶㈷攰挹㘰晢㘰〷㄰〹㐳㈷戴捥㈸㐱昳㈹㠴摢扣〹昲㑥㤷ㄸ㠵㈰㌵㘵晡攷㌱攵换捦㌱㝤晢㔸㈶㉥㐴㑣挴㜰㔷㡡昵〰攴㈶㈳㤳攴愲愱㌸㘰ㅥ㑡㌶㈹戴晡攲㍡㥡ㄸ晤㌴昹扣〰户㜸ㄸ换ㅡ㈰摢㔴㜱捦㉤戰愰㑤慢敢扢捣㘹愷㕣慤㔵㠴㔴挵戱慣㤶ㅡ㜹㕢攰㑢㕥〱っ戹㈹〵㉥ㄱ㔰愶㜱㤴攲㤶㠹愴敥敤㙥晤ㄸ㠶㑢㈱㠷㌹㐲搵挷〰㘴㡡㕢㑥〶挴摡敥㈹搰㍥摣摤戸挰㈰㉦捦㐱愴戵㔵㔱㤶捤攰㍥㕥㍤㡡㉣戹㉤搱㙤挶㥤㜱㘹戳㈷慡㑥㕡㘱搵戶挰ㄱ昶ㄹち扣㝣ㅥ挶㐸㤷摣挱㐹㌲㤷愳攸敥攵挷攴㘳收㌲㔰㈱㌱愰㌰挶换㔳㔰〶㔰〵㈳搱攰㔶ㅢ㔶户挲攸㉦㉤㙦㝤ㅣ㤹挲㌰㌰つ㕡昴っつ㥣㐹㤴㌷㌷㜰㙥㐰慦㤴〸㘹㌲㤸捡ㄸ攵㄰ㅣ昶㐰ㅡ戸㠹〷改〵ㄷ㑡㈸搸㈳㉦㠶挵㜷ㄳ㐷㙣ㅣ㠱㕣敦捡㤶捡㌹㈳挰昵ㄷ㘷㕦㑢昵㜸愵㐲㜳ㄷ晥戹㙤㠱㔵㕣摤〸捤搱㍤㉤㤷戲攴㥥㘸摦摤搸搲㄰㕤ㄶ㍣㍣㌵㝡搲〸捡换昳挱㝡㜸㜱慢㕢㤲搰㝥ち㝦挴㠶㙦愷捤㥣㜳㜸ㄱ㜵㤵戰㉦㕥㜰摣㡢㡥㕣㤷收昳搶ㅦ㈸〴㔷㈸㝢戸挸㘲收ㄵ晣㤳㐹捤㘸㍦挱㡣㕢㔹㌶㈷㘸㌸㐸㌸㡦㑣愱㌴ㄸ㐶㌹㠵㑥㘰扢搷㙦つ㤰㑥昶戴搰㠹ㄴ〴㍢㠴攲㉣扤㙥㠴愲晣ㄸ㘸㈵戱㠴㐷㜲挰晣㕢㘰㝤攵㐷愸㈱挲昱ㅣ㠹ㄱ敤㉤㈸愵愰㑥ち昲攸㡡〷㉦㠴晣晦㘰㈹收收つ搹改扦挰捣捡て㕢㔱㜴㍤㔱昴㠳㌶ㄴ㈹扣〶㈲昹昷摥愸挰〷㡤攱搹㔷ㄵ〸攷㥥㜶づ愰㙦昸㠵摦晦攱〱㜴〶ㄸ㘶㤲㌶ㅡ㐲㙤㌷愱㕣㌷ㄱ戲㙤㈶〲㠳昷搲㐴㌸挵㌱㡣攲㠷㈶㐲攴〳㤹㐵挵收㈶〲㘳㝢㈹㠶㘰㈲搴㥡㜰㙢昰〴㜶愵㑤晦搸㐹㕣扣ㄵ㍥攲昹㔰㕡晥㈴㍣㔲㔷戵㔷捦ㄹ㥥㘱敦㤳昵㈷㍣〱㘵收㉤攰㈶户ㅣ挲ㄱ晢㌷㙣㤱㠳㌶昰㔵挴㕥昶ㅤ㝦捡搶敥慦〳㔳㘱ち摤昷㑡㐱挹扦〶㑦㠹挲㜳㐳收㤱㍤摦㌹昱愷㠷㥦㍣挶摢㙡ㄱ慤㙡〷㔰敥㈶㘴㑦㝢〲㐱摤挴㐵㤱扤晣㌰攷ㄴ㍥㔱戲㔶慡㘲挲昰愴ㄵ攴敢㜶㕣っ〹㉦㐱㤸㈱昱㙤〷ㄳㄳ昷ㅥ㐲ㄳ㜳戴挵摤㈹㍦㙣㤲㉥挲搱挴挲愵㑦㉦づㅢ㉡ㅤㄵ㔹㤷搶愶昶㈲㔴搱慢㕣㐸戳㤵挸㔳㈷㤳愲㝣户㔵搷ㅤ愱慥ぢて㌲っ晢挷㔲ち昱〷㔲㐸昲㈰挳ぢ〱㔲㑡㥤㐱㐱扢〵㔹㑡㘴慤㌵挴㑢㝦挰㡥㄰㄰昵㑢㝦㕤㝥挴〲㈸〲㡢戱㉦扥摢ㄳ㉤㙤搱㔸㌵㌱㔴㉢㙤㥡㜹ㄴ攴攱㠵ㄵ㘳㜱敤〲ち㜱搲づ愳戴㘵㜷ㄴ㕦搲㙦㠷㠱户㤰戱㌵㥢扥戶愲㝤㡦㔳挳捤て攸㤹扣㔴ㄸ捥㙥㔶攳㐰㉡㘳㜴㘱搷㘲㔸挵㝣㈰㉣搶〷昵㐶㑤搰㔹捥㍥㥣㑡ㄱ晣攳㤷㐲㙣ㅦ㘹㑣扤户戵㠵㍡捥改挱〶昹㠳晤㜵㝤ち㘳攳慤攴ㄸ㐸搸㉤昵㉡㠴搷挳捦㘲〸㌷㥤㔱昴㐶㔱㍥㉢㐷昰㈷收慣慣摡愶晦ㄹ扤㤶㥣㜵㡥愳ㄹ挶㙥搲晦て愰㘲㔳晤慦㌰昶㈶ㄱ昹㠱愸㈰㡤㔳挶㑦㌶つ搹㄰㈲昰㙣㈳㜸㈳て挶扡㉣㌲攴ㅤ㤶收昱昱㙡搸㉣㈵㌸晣㕥戹搶慢ㄱ昵戱戴㙤㝢㍢ち㐰挶㠶戴㙦㐱〴㜵ㅣ摦㉣户攲搳㙤晥㠳ㄸ戸攷㤴㔵昶㕣摦㌵㠳攱㜹〴㝤㠷昹敤㤹〹㥢㘷㕣昹㘶慢㔰扢ㄱ㤰攸晢㌰挶㥣㥥㠵挰㍥㉤㠲搷㉢ㄶ挹挸挲搶㈲ㄹ晣づ㘹㌰ㄱ㕥愲㜶昰慦㌰敦慢ㄹ㔵㝣扡㍡ぢ㕦㘷挰慡㙤愱散㐲㡦㜳敢つつ㠲づ㜷戴摥て㝦㤰愸㡥㈲㌸㈶户昰挱てㄳ慥慤㌰㘸敥ㅢ敤捤㘷捦敥㝣㙥㐵敤〵攰㜴㙢㙦㘹㈶ㄹ扥㤳㕦㈴ㄷ昵ㄲ㜳㕣摡㍦㠶扦㕢㜷搰㜲戶㈱搰㜹昴㐱㌷ㅤ㘱㈳㔵戸捦戶㄰晤㍥㡦愱捡㌸㌳晣㜴㈳㉡昰㐱愱㤷㡦慣愸㝣つ摢㈲〳愰㥣挹㤷㤱㜵愶敡攷㌷愲敡挱㝢㌱㠶晣慡ぢ㘴晤㔹㠵㐷つ㔲㘵㔱昹㌲晡ㄳ㙡攱敥㤷㔸㠷愳㠷㍣㔲愰慣㈷㈵戹挲㈳㠵㕣捦戳ㄸ㔰㕦捦㠳愸敤扣㥥㘷㌶㕡㡦㐲㘳㐰敥㌷㌹晦㘰慣㑣㜴㥢慦㜶㤸戹捣㔶㤰つ挶㍤〷㈸㈶戹㤷㝣ㄸ㙡昸ㄱ㌱㠵昴摢攸敦愵㘳扦㜹㠹改ㅦ挷ㄴ㈹ㄸ搱搴扣ぢち㐶戹㡢捦㈶㜷攱愳戶昳㉥㍥扤搱㉥〶㈹㌳㈵㔴㙢㈸〰慡㈵晣㤱扢㕡㐵㠱〰攵㑦㌹捦っ扦愶㔵っㅡ愸㤱㘳搷㔰攸捦㙡㐴捣扢㍢㙢ㄷㅡ㡦昱愷戰〸づ㌴㝤昳㝡て扥㘱㕤㘷戴㍢㡢㑦昸㌵愹ち㜳敡摤摤捤ㄵ㥢愳搴㘴摡挷戱敢搷㌰て㌷摤昰㌹㜲挶晤昸ㄵ㘰㌹㤲捣㈴㐸ㅥ㐶㈱〶㤴㐶慣愷㝣搹㈴㡤㐳摥〲愵㈳㉢ㅦ㝡愲昳愱㐹㔰戰㈳ㄷ昴戶㄰㡣搸ㄲ㍦ㄵ敥愸捦昲㕤㕥㙦㔰㥥㡡愹昰攴挹昸戳㌱㌵ち戸㠱ぢ㐲㜳㥣㕣㐳㐰㉡㑦挶㥤扦昷晤㠶扦ㄸつ㐸㘰㤵戰㌳戹㑢㜶晥㘸摣昹㌰㍥㐹㤳㝤㌲㈴㈸愶㑢㜱㘷㜲愱散晣㐴摣昹敦㠷昷搵㍢挷㑣ㄷ捥慣㤱㈳㔲っ㝤㜹昴㐹㝣㥥㍥㠰敥㥡㐹攳愱搷っ慢㐹㠸㌲㙥㕥㤵收㐳ㅦ㙥挲㜸昸㐰㝣〶ㄷ扢㜰晦〵ㅡ㈶晣晦㐴㑣攳挲搷㤴ㄱㄸ昸晥㝢ㄵ㤱㜶㑦㤷㑦ㅣ㥣㌷㘷㍤㔴昴㤸搳㍥づ㤴㤵㙤㐵㈲戰㠵㜲㈱㝣㌷㠹㐸愴搸捤つ㜸挴ㄱ㐲㤵ㄷ㘸扡搳㥣㌲慡㤴㔳ㅥ㡦㌱㥢㜹扣㐱㌳晡㐷㠰ㅣ攸〴攴㉣攸㑦㈰て愳㔰㝢㔸㌱㐸㘱㈷㈵搹㤳㙣㜸㡡搹挷㤰ㄵㄵ㑡㌶搲㐱晥攳挸〶攲晦㑢挷昰慡㜴ㄶ愹捡㕡晣戲㈴ㄹ改㥦攰㠰㑦㈲换挲㜷慤㐴㐴㔸搴㍦㠵㥡攴㑢㈹㌸攴㑢㍦挳㠶捦㌲晢ㅣ戲愲挶挵㙥ㄹ㙡摣㔳㤷㙡晢昳ㄸ慡㄰ㄴ㥣㐳晦㐲㔴攰㠳㐲㌸㔰㥣㉢づ㜶㐸ㄹ㑡㙤㔳㔰昳ち㘱㈳ㅢ散愸攱愸㙣㔰ㄴ挲㑢㌶㔴愳〶敡㌲晤ㄹ㘴ち攱挱㍤改㕦攴ㄳ挱㈰㕦昸㙣㔴㤰㉦㈴っ攴昰攵㤶ㄷㄲ㉥戲㘱愹攵㠵㠴㤵㙣㌰㤳㉦晣ち㈷㤵ㅢ㐳愱㔹㕤㜱㠳ㄲ摥㕦㐵愱㍦㍢挰戵摤㡦㥦扡愶㤴捦㔷捥㥦㝦㜹㈰㌷扣㍦昷挰晢晡㥥扢昴敢㍦㍦晤扢てㅤ晤摢扦㥦㝦晥㜷㝦㜹晡愵㝦晦㜴昱攸㉦㕦㜸攱攷昷㝥晤愵㍦敦㌶扦愱㝥晦攵㤹㙦㍣㍡㜶攱搱㠷捣戳〷㑥㍣晡㠱〷敦ㅢ㥢扢㘲㈴㥢敤改戹㜹攸㔷㔷扦㘳昰昱㠷㝥愸晣散て㔷㌹㡡摣㉥㕥搰扣っ㙥㕢㉥攳敢㈸㘰ㄹ㕣昱ㅢ扡っ㙥㔷〲敡㝣〴愸〹㔴㔰㠵㜱〱戲愱搴摣搰晢ㅦ〲晦扢晦</t>
  </si>
  <si>
    <t>Lognormal</t>
  </si>
  <si>
    <t>Logistic</t>
  </si>
  <si>
    <t>Quantity per day for each station (Monte carlo)</t>
  </si>
  <si>
    <t>Total quantity per day (Trimmer)</t>
  </si>
  <si>
    <t>Picking up (WIP, Wire &amp; terminal)</t>
  </si>
  <si>
    <t>Assembling / Inserting (Crimping wire)</t>
  </si>
  <si>
    <t>Inserting (Sliding heat shrink)</t>
  </si>
  <si>
    <t>Waiting (Applying heat to shrink)</t>
  </si>
  <si>
    <t>Plug in terminal</t>
  </si>
  <si>
    <t>Positioning (Aligning housing)</t>
  </si>
  <si>
    <t>Inserting (Placing spring)</t>
  </si>
  <si>
    <t>Waiting (Auto-machine cycle)</t>
  </si>
  <si>
    <t>Positioning (Placing into Hipot machine)</t>
  </si>
  <si>
    <t>Quality Operations (Checking gap, test cut)</t>
  </si>
  <si>
    <t>Cleaning (Air blast)</t>
  </si>
  <si>
    <t>Fitting / Inserting (Chrome insert) and QC</t>
  </si>
  <si>
    <t>Fitting / Inserting (Applying blade guard)</t>
  </si>
  <si>
    <t>Packing (Putting trimmer in bag)</t>
  </si>
  <si>
    <t>Picking up / Placing back (Plastic box, manual, acc.)</t>
  </si>
  <si>
    <t>Packing (Arranging items in plastic box)</t>
  </si>
  <si>
    <t>Packing (Putting plastic box in color box)</t>
  </si>
  <si>
    <t>Gluing (Taping color box shut)</t>
  </si>
  <si>
    <t>Set up mater carton</t>
  </si>
  <si>
    <t>Packing (Loading master carton)</t>
  </si>
  <si>
    <t>Gluing (Taping master carton shut)</t>
  </si>
  <si>
    <t>Load up pallet</t>
  </si>
  <si>
    <t>b7dd8bf7-2574-4cd9-a1cf-74f01b62ee14</t>
  </si>
  <si>
    <t>Triangular</t>
  </si>
  <si>
    <t>㜸〱敤㕣㕢㙣ㅣ㔷ㄹ摥㤹摤㔹敦慣敤搸㡤搳戴〹扤㤸㕥愱づ㙥㥣㌶㉤㉤㠴攰㑢㜳㘹㥤搸㡤㥤㤴慡愰捤㜸昷㡣㍤捤捥㡣㍢㌳敢搸愵ㄲ〵㕡㉡敥㔰愹㔴㉤㠵㔶ㄵ慡挴〳户㤷㤶摢ぢㄲㄲ〸ㄵ㠹〷㄰㐲攲愱㈰〴ㄲ㈰ㄴ㠹㤷㍥㔴㉡摦㜷㘶㘶㜷㜶搷㍢㜶户㉤戸挸㈷摤攳㌳攷㌶攷晣昷昳晦㘷㥡㔱㌲㤹捣敢㐸晣换㤴㘳攱戲戹㌵㍦㄰昶攸愴㕢慤㡡㜲㘰戹㡥㍦㍡敥㜹挶摡戴攵〷㔹㜴挸㤷㉣戴晢㕡挹户ㅥㄴ㠵搲㡡昰㝣㜴搲㌲㤹㐲㐱㔷搱捥㐹昸ㅢ㡣ㅦ㜴㡥敡换㈱㥢㥦㥣㤸㔹戸ㅦ戳捥〵慥㈷昶つ㥦〹挷ㅥㅡㅢㅢㅤㅢ扤昹搶戱㕢㐶昷敦ㅢ㥥慣㔵㠳㥡㈷づ㌹愲ㄶ㜸㐶㜵摦昰㙣㙤愱㙡㤵敦ㄲ㙢昳敥㌹攱ㅣㄲぢ晢㙦㕡㌰㙥㝥晦搸捤〷て㥡户摤昶晥㍥扣㍡㜳㜲㜲㘲搶ㄳ愶晦ㄶ捤愹㜱挹㌷㑦㠹戲挵扤〹攱㔹捥攲攸攴〴晥㑢慣ㅦ㑦户㡥捥㉤〹ㄱ昰搵挲ㄳ㑥㔹昸㍡〶昶摡攳扥㕦戳㤷〹㍣摤㍥㠲慤㤶つ㍦搰散㐹㔱慤敡㜶㍣㙢挱㥥〱散慡挶㕡㥦㍤㈷ㅣ摦ち慣ㄵ㉢㔸换摢昳㤸愸搲㙦㥦昶挵㈹挳㔹ㄴ㈷つ㕢㘸昶搱㥡㔵挹㠵㈹㤳扤㍥㥥㈲戹㌰戹晤搱㜱摦㥥㕣㌲㍣戹㈲㥦㠰㐹改㝢挴㉢㌷昷扤扡昳扣㕣扡㝣〳攷扣戶㜳㍦戴㥣㌱扣㝡捦㤱捥㍤愳捤㌷慦攰挶捥晤ㄳ㌰㙡ㅥ昳摥捥㘳㈴㈸㥢㝢㉢扤ㄱ㝤㑢㠸㘲㌳㝡㥥㔹て戳〲㌳㈲㔰㉦㌲敢㘵搶㠷㑣挹晤ㅢ㕣㤲ㅣ挸㈶戵㘴愸愵〵戵㔴㔶㑢ㄵ戵㈴搴㤲愹㤶ㄶ搵搲㤲㕡戲搴搲晤㙡改ㅣ晡挴愹搰搳愳㐶改㠵摦扦扡晢戵敦散扦敢愵㙢晦㝥摢㉤㐷㕦㍦搷户〳㥤敥㡥ㄶ㌵攵ㄹ攷㐱㙡つ㉡㍥㌰扡㥦晦㌶收ち㌰㠵㜹搰扣搵ㅣㅢ慢ㅣ摣㙦摣㘴㘸摣㔶ち昲㥢〸㘵㄰㝤晢捣㝢㉣愷攲㥥㤷戸扢㙣挲昰㐵〳㜰㈳㔱摢㠴㕢㜳㉡晥扢搶㙦㥣ぢ㡣㐰散㙤㙤㙢㑣搲㌶㙣づ㙣㈵㝣昹扥㉢㕡㠷㥤㌱慡㌵㌱扥㙡㠵捤㤷户㌴摢戳㥥扢搰戹昵㠸㈷ㅥ愸户戶慤㘸ㅣ㐲㙤㐵捥摤戶换戰㈹㕣搷昰攴㤲敢ぢ㐷㉥㙦挴㥥戵捡攷㠴㌷㈷㈸ㄲ㐵㐵㙥昵㘲㌶㐵㕣㍦㌲攳㘰愳攰搶捡㔵挹㕡昳㡥搵〰捣㉣㉡㔸敦戲昰㠲戵㜹㘳愱㉡㜶㌷㜵〹摦㠹㠶㍤㑤搵㐷摣㜲捤㥦㜴㥤挰㜳慢捤㉤攳㤵ㄵ〳㤲愶㜲挲慤㠸㕣㉥㈳㠵〲〴㙥㌶慢㈸㤹ㅢ㍡昳㠲㐴㐴〲挵㘴攴㑢㥢挹㙥昴ㄴ㜶㠷㕤㔴〵㘹㔲扤㘶㠳挹戸㕥㈹㘳㔲㌸㌰戱㈷敡て扥昴㍤ㅢ㑣㕢挷摣摢摢㔹㔵㠷愲摤摦戱㈲㥣攰㤸攱㔴慡挲㑢搵㝥ち㔷愴て㈰搳㉥㐰㈰㜴㠴ㅥ㔵㥤戲慡慣㘹攷慤㑡戰㤴㕦ㄲ搶攲㔲㠰㍡㘸挸㐲㠱愰㙤㑢晡㐵愸搲㜷㌲ㅢ㐲㔶㉣㘶昲扢搸㈹㕦㐴捡㘸㤴㑥㈹扣摣㈴挸㌹慥㠹㤷晢捣㈳㔶㌵㄰愱㔰ㅥ㌰㠱㤱㔰慢㐹昴昵㤳㐴㍤愳ㅣ㉡㡣㕤收㈴愸搴戰㥣㘰慤挱户㙤㕣ㄲㄲ搱戶㉣搸㜲戲㠰愲愰㔹ㅥ愴昰ㅡ㠸愶㐵ㅡ愴㜷㑥㄰ㄱ搹㈰㐵戳㘳收㘶㈲㘳晦ㄴㄹ㠱晥㐹㈲㘴敦晤㥤㘵〴㠹扤㥤㐸㌹愸㈳㍦㙥㑢戳昵㙣昹㔰㥡㕤っ挰改扢㤹㕤挲散㔲㘶㝢㤰㈹㝦㠵㠴愳㤴㐳戹㌹改敦挲戳㝥ㄹ戳换㤱㐱㍥改㤴㌹㤱愸愲つ戵ㄹ㍢㤲晤晡㘱㈷㑢愳㌸ㄴ㐵戴㡣敢㜶㘶扦㉤ㄱㅤ㔹㥤㕢㐳搷收愴㡥扤慥㌳㙤㈶户㐳㡡㑣改㥡摣敢〶㕤㤳㠰㘰搷㉥昵搶㤵ㄸ慡て㌳㝢㌷戲愲㝥ㄵ㜳㈸ㄷㅡ扣㥢戳攸㘹㔲扥㈳捣愲搰ㄸ敡㔲挱㐷㠴捣㈳㐰㡡㤰㙢㍢扥㙣摢搰㌴〷㐷捣㜷扣つ扤慦㌳㝦㐷㐸㙦搱㥢摢㝡㠷晥愲㌷㘸㐵㕦つ昶㔲晥搸㔱挷㕣㡢㘶晤㍡㘶搷㈳㙢搱㌱㍣㝤扦㔱㑦㠱㌴㡢敤〴收㜶搲敢㈲慤摣昹戵㘵㈱㌵㔰㥦㌹㙦㜸㡢㈲㠰〷攳昸ㄴ㙣㘱搷昳㐴ㄵ㠷摡㡡慣攰昹攵㤲收㑡晦㠸攷摡慣摦戶㤱晤㜷㠴㘲挸攵搴㙣愶挵㐶㑥戱㌵ㄳ㍥愷〴攵㔰〷摦搴㔹㐸㈴〶㌵㤳ㄷ挷愵㥦㉦户㈵㐹ㄷ㤲攴扤〰慢㝥〳㌲㐸〹攵㜷ㅤ㈵捡㍥㜶㝢㥦散搶㙣戱搲挳㤷㜲㍡㘹昱㈱戶挹㤱摥搰㘱㍢〱晦㠱摦㙦捦㔹㜶㕤㔸昴摡戳挲㉢挳户㘰㔵㐵㌱㜴换㔲搴㙣换㡡㜷㠸慣挸㘶摢捥搳㈹晥㌵㐹㈷㉤㔲㈲㤵摢㔳ㅢ㔳捥攲つ愲愲ㅢ㤲㐲㈵挵㌵㔴㤷㐰愴㍣昶摤ㄶ㌱㕤㠸㤸ㅢ〱㌸㝤㍦戳㌱㘶〷㤰㘹扦㠶愴搹㉣攰ㄹづ敢㔹愱㑢扢㔴捡ㄴ㠸〶改㈲㝣戹愳戰㍡挸搷摣挲散㔶㘴㉤收てㅤ㤰㈹㠴㈸㔱㥥㈰㐴ㄹ挶㌰捦㔸攲㍣㘹㘰㠷㠹挰搲㘴捤て㕣㥢㤱愵㝥㜳捡㍤改〶㔳㤶扦㡣㐸搴㤰ㄹㄵ敥㔹ㄲづ愸换㠳敤搳㔲攷㉥㉦㡢㡡㙥捥戹㌵㠸戶攳㔳㕢攱㘰づ㜰挰㤶㤴㘷㜳㔵㐱敡敥㝣㡣㈹ㄴ㐰㕡晡㕢改㡤摤㤴昷㥢㠷扥㠱〶㐴攷慤愰㉡㝡捤㤰改㔸㉥㤸㠰㈲㈲〷㤵ㅥ㜳㝥挹ㄳ㘲慡摦㍣敡㔹㤵慡攵〸㈲〳㌶㈶㠳㜵搳㘲ㄱ㔱㠲㔹㤷㌱㐰搷改㌷攷㍤挳昱㤷つ〶ㄴ搷㜶㌶㍤挹戰㠸㘶㑥㔸㡥㡦搷㐸㉣戲㍣㘰捥㉤戹攷ㄱ戱慤搹捥㔱㘳搹摦ㄲ㔸㈱搱㠷㐹愲㐶㔱ㄵ㔵㔵ち㙡愱㕢晣昰㐰㥥挹㤰昷㜲捣㈴慥㌲ㅡ㝤收㈹摡㥢㜶㝤ㄴ愳愱㥤捥㌵昵㈱㝡㔴慦捣愶㑡㘱㜲慡㝥ㅢ挷摣㡥散捥愳愷㡦㌷㈲㜳㙦㉡㘶慤搱换㥦㈲攳㈵㔹搴〳㈱昴搱敤〸㐹㠵㜵愴ㅣ㜰㈰㌰捥愷㔶昲㉢㥡戲て愹㙦㐷愳㜸〴㤱愴㍥㜳摡㔸㄰㔵挴愳㙤㈳搸ㄱ㍥搰㡣戵㡤慡ㅦ戵㑤扡戶㙤㤰戴㐸㤶㜳㘵㠳ㄴ㍣㕥ぢ摣ㄳ㤶愳㥢挸㈴晤㐵㔵挶㉡慡㡣㔵㔹搵㘷㥥㘲㘸㔰㤶㌹㤷扢㘸㜸㔶戰㘴㕢攵〲ㅦㄸ扥摢ㄲ㌴〹㈶愷攴㡤㔳㉣㌳㠶㕢慣昹搳㌰搹晣㔱愰㝢ㄴ㜲㤴愰㈳晡㐱戹慡㤲挷㍦愵㑢挷ㄲ〴㡣昴㤴敡ㅦ挴㙣㥡扣ㅤ〱㤱㈳搳㠵昸づ挶㠵㑦愰㈶ㄴ㐲挴㝡ち㠹挰㉢㤸㄰昲㜴㜱攷捤搳㡥ㄵ〰㝢挴搸ㄱ㉢㤸昲㠱㜲㘴㈸捡攳敤㕥㠹搵挴愰㤱扡㔶戸戲扤愹㐹㑤㕣搱摥㥥搴ㅢ搷慣搳ㅣ㙡㤴㠴㈲搹愸㤳搴㉣敢慣㜱㉢愹ㅡ㐵㉡敥㔸摢㈸㘹㙥搳〶摣㈹㐵摥㠴㘲㤲㌴㤳搱㍦㈴〹〵㠱摥㐸㐷搱㘷㥦㑥ㅥ㠹㠸つ㙤㠰㈲昵㔴㔸搷ㅦ㠵〴㡦攳摡㐹㐵ㄴ愳㈷昰昷㡥愸㌸㔳ぢ㥡㕡㡣搵愱愸㘵扣㕡㥤㜱㘰㈵㤴つ慦戲㐵㔸ㅡ㝢ぢ㌵㡣攴捥㙥戵㝦〸摥〴㈳㐶㙣挸戰㐸㡡ㅦㄸ㙣〸收㑡㐴㔴㘹㥤昵ㄳ搴昵敡〲㥦㑥〸挳㤱ㄸ㤸ぢ㉡㔳㘲㐵㥡㘱つ㑢㝥㐸づ愸㥦ㄶ愵ㅣ搵捤昱〵ㅦ㉡㍤愰ㅣ㡦㑡㤲挱㜵昳ㄴ摤㔲戸挴〰戱ㅢ㤵㘶换〱㐲扢昵〹㜸㌲搸㍡搸〱㐴挲搰〹慤㌳㑡搰㝣ち攱㌶㙦㠲扣搳㈵㐶㈱㐸㑤㤹晥㜵㔸㜹晡㈹愶㙦ㅦ捥挴㠵㠸㠹ㄸ敥㑡戱ㅥ㠰摣㘴㘴㤲㕣㌴ㄴ〷捣㐳挹㈶㠵㔶㕦㕣㐷ㄳ愳㥦㈶㥦ㄷ攰ㄶて㘳㔹〳㘴㥢㉡敥戹〵ㄶ戴㘹㜵㙤㠷㜹摣㈹㔷㙢ㄵ㈱㔵㜱㉣慢愵㐶摥ㄲ昸㤲㔷〰㐳㙥㑡㠱㑢〴㤴攳㌸㑡㜱换㐴㔲昷㜶户㝥ㄸ挳愵㤰挳ㅣ愱敡㘳〰㌲挵㉤㈷〳㘲㙤昷ㄴ㘸ㅦ敥㙣㕣㘰㤰㤷攷㈰搲摡慡㈸换愶㜱ㅦ慦ㅥ㐵㤶摣㤶攸㌶敤㑥扢戴搹ㄳ㔵挷慣戰㙡㑢攰〸晢っ〵㕥㍥て㘳愴㑢敥攰㈴㤹ぢ㔱㜴昷挲㈷攴㘳收〲㔰㈱㌱愰㌰挶换㔳㔰〶㔰〵㈳搱攰㔶ㅢ㔶户挲攸㉦㉤㙦㝤ㅣ㤹挲㌰㌰つ㕡昴っつ㥣㐹㤴㌷㌶㜰慥㐴慦㤴〸㘹㌲㤸捡ㄸ攵㄰ㅣ昶㐰ㅡ戸㠹〷改㜹ㄷ㑡㈸搸㈵㉦㠶挵㜷ㄳ㐷㙣ㅣ㠱㕣㙦㜷㑢攵慣ㄱ攰晡㡢戳愷愵㝡扣㔲愱戹ぢ晦摣㤶挰㉡慥㙥㠴收攸慥㤶㑢㔹㜲㑦戴敦慥㙥㘹㠸㉥ぢㅥ㤸ㅡ㍤㘶〴攵愵戹㘰㉤扣戸搵㉤㐹㘸㍦㠵㍦㘲摤户搳㘶捥㌹扣㠸扡㐲搸ㄷ捦㌹敥㜹㐷慥㑢昳㜹敢てㄴ㠲㉢㤴㍤㕣㘴㌱昳㍡晥挹愴㘶戴㥦㘰挶捤㉣㥢ㄳ㌴ㅣ㈴㥣㐷愶㔰ㅡっ愳㥣㐲㈷戰摤敢户〶㐸㈷扢㕡攸㐴ち㠲㙤㐲㜱ㄶ摦㌲㐲㔱㝥っ戴㤲㔸挲㈳㌹㘰晥〲㔸㕦昹ㄱ㙡㠸㜰㍣㐷㘲㐴㝢㌷㑡㈹愸㤳㠲㍣扡攲挱ぢ㈱晦㍦㔸㡡戹㜹㕤㜶晡㉦㌰戳昲挳㔶ㄴ㕤㐱ㄴ扤搴㠶㈲㠵搷㐰㈴晦摥ㄹㄵ昸愰㌱㍣晢㠶〲攱摣搳昶〱昴㙤扦昰晢㍦㍣㠰㑥〳挳㑣搲㐶㐳愸敤㕡㤴敢㈶㐲戶捤㐴㘰昰㕥㥡〸㈷㌸㠶㔱晣搰㐴㠸㝣㈰㌳愸搸搸㐴㘰㙣㉦挵㄰㑣㠴㕡ㄳ㙥つ㥥挰㜶摢昴㡦ㅤ挳挵㕢攱㈳㥥て愵攵㑦挲㈳㜵㐹㝢昵慣攱ㄹ昶ㅥ㔹㝦搴ㄳ㔰㘶摥㍣㙥㜲换㈱ㅣ戱㜷摤ㄶ㌹㘸ㅤ㕦㐵散㘵摦昶愷㙣敥晥㍡㌰ㄵ愶搰㝤慦ㄴ㤴晣㥢昰㤴㈸㍣㌷㘴㍥扥敢扢㐷晦昴攰㈳㠷㜹㕢㉤愲㔵敤〶㤴扢〹搹搳㥥㐰㔰㌷㜱㔱攴㘲㝥㤸㜳〲㥦㈸㔹换㔵㌱㘱㜸搲ち昲㜵㍢㉥㠶㠴㤷㈰捣㤰昸戶㠲㠹㠹㝢て愱㠹㌹摡攲敥㤴ㅦ㌶㐹ㄷ攱㘸㘲攱搲愷ㄷ㠷つ㤵㡥㡡慣㑢㙢㔳晢㍥㔴搱ㅢ㕣㐸戳㤵挸㔳㈷㤳愲㝣慦㔵搷ㅤ愴慥ぢて㌲っ晢挷㔲ち昱〷㔲㐸昲㈰挳ぢ〱㔲㑡㥤㐲㐱扢ㄱ㔹㑡㘴慤㌵挴㑢㝦挰戶㄰㄰昵㑢㝦㕤㝥挴〲㈸〲㡢戱㉦扥摢ㄳ㉤㙤搱㔸㌵㌱㔴㉢㙤㥡㌹ㄴ攴攱㠵ㄵ㘳㜱敤㍣ち㜱搲づ愰戴㘹㜷ㄴ㕦搲㙦㠷㠱户㤰戱㌵㥢扥戶愲㝤㠷㔳挳捤て攸㤹扣㔴ㄸ捥㑥㔶攳㐰㉡㘳㜴㘱搷㘲㔸挵㝣㈰㉣搶〷昵㐶㑤搰㔹捥ㅥ㥣㑡ㄱ晣攳㤷㐲㙣ㅦ㘹㑣㝤㜱㙢ぢ㜵㥣搳㠳つ昲〷晢敢㡡ㄴ挶挶㕢挹㌱㤰戰㥢敡㔵〸慦㠷㥦挶㄰㙥㍡愳攸㡤愲㝣㔶づ攲㑦捣㔹㔹戵㑤晦㌳㝡㉤㌹敢っ㐷㌳㡣摤愴晦㍦㠲㡡つ昵扦挲搸㥢㐴攴扤㔱㐱ㅡ愷㡣㥦㙣ㄸ戲㈱㐴攰搹㐶昰㐶ㅥ㡣㜵㔹㘴挸㍢㉣捤攱攳搵戰㔹㑡㜰昸扤㜲慤㔷㈳敡㘳㘹摢昶㜶ㄴ㠰㡣つ㘹㉦㐰〴㜵ㅣ摦㉣户攲搳㙤晥㍥っ摣㜵挲㉡㝢慥敦㥡挱昰ㅣ㠲扥挳晣昶捣㠴捤㌳慥㝣慢㔵愸㕤つ㐸昴㝤っ㘳㑥捥㐰㘰㥦ㄴ挱㕢ㄵ㡢㘴㘴㘱㜳㤱っ㝥㠷㌴㤸〸㉦㔱㍢昸ㄷ㤹㜷搷㡣㉡㍥㕤㥤㠱慦㌳㘰搵㤶㔰㜶愱挷戹昵㠶〶㐱㠷㍢㕡㜷挱ㅦ㈴慡愳〸㡥挹㉤摣昷㌱挲戵ㄵ〶捤㝤愳扤昹散搹㥤捦慤愸㍤て㥣㙥敥㉤捤㈴挳㜷昲㡢攴愲㕥㘲㡥㑢晢㠷昱㜷昳づ㕡捥㌶〴㍡㡦㍥攸愶㈳㙣愴ち昷搹㈶愲摦㘷㌱㔴ㄹ㘷㠶㥦㙥㐴〵㍥㈸昴昲㤱ㄵ㤵㙦㘲㕢㘴〰㤴㌳昹㌲戲捥㔴晤捣㝡㔴㍤㜸㈷挶㤰㕦㜵㠱慣㍦慢昰愸㐱慡㉣㉡㑦愳㍦愱ㄶ敥㝥㤱㜵㌸㝡挸㈳〵捡㝡㔲㤲㉢㍣㔲挸昵㍣㠹〱昵昵摣㡦摡捥敢㜹㘲扤昵㈸㌴〶攴㝥㤳昳て挶捡㐴户昹㙡㠷㤹换㙣ㄹ搹㘰摣㜳㠰㘲㤲㝢挹㠷愱㠶ㅦㄱ㔳㐸扦㠹晥扥㜲昸搷㉦㌳晤昳戰㈲〵㈳㥡㥡㜷㐱挱㈸㜷昱愵攴㉥㝣搴㜶摥挵ㄷ搶摢挵㈰㘵愶㠴㙡つ〵㐰戵㠴㍦㜲㔷㉢㈸㄰愰晣㈹㘷㤹攱搷戴㡡㐱〳㌵㜲散㉡ち晤㔹㡤㠸昹㐰㘷敤㐲攳㌱晥ㄴㄶ挱㠱愶㙦㕥敦挰㌷慣㙢㡣㜶㘷昱〹扦㈶㔵㘱㑥扤扤扢戹㘲㜳㤴㥡㑣㝢っ扢㝥ㄳ昳㜰搳つ㥦㈳㘷摣㡢㕦〱㤶㈳挹㑣㠲攴㐱ㄴ㘲㐰㘹挴㝡捡㤷㑤搲㌸攴㉤㔰㍡戲昲愱㈷㍡ㅦ㥡〴〵㍢㜲㐱㙦〹挱㠸㉤昱㔳攱㡥晡㉣摦攵昵〶攵搱㤸ち㡦ㅤ㡢㍦ㅢ㔳愳㠰ㅢ戸㈰㌴挷挹㌵〴愴昲㐸摣昹〷㉦㌶晣挵㘸㐰〲慢㠴㥤挹㕤戲昳愷攳捥〷昰㐹㥡散㤳㈱㐱㌱扤ㄲ㜷㈶ㄷ捡捥㥦㡡㍢晦攳挰㥥㝡攷㤸改挲㤹㌵㜲㐴㡡愱㉦㡦㍥㠹捦搳〷搰㕤㌳㘹㍣昴㥡㘱㌵〹㔱挶捤慢搲㝣攸挳㑤ㄸてㅦ㠸㑦攳㘲ㄷ敥扦㐰挳㠴晦㥦㠸攳戸昰㌵㘵〴〶扥晦㕥㐱愴摤搳攵ㄳ〷攷捤ㄹてㄵ㍤收㜱ㅦ〷捡捡㤶㈲ㄱ搸㐲戹㄰扥ㅢ㐴㈴㔲散收〶㍣攲〸愱捡ぢ㌴摤㘹㑥ㄹ㔵捡㈹て挷㤸捤㍣摣愰ㄹ晤㤳㐰づ㜴〲㜲ㄶ昴㑦㈱て愳㔰扢㔸㌱㐸㘱㈷㈵搹㈳㙣㜸㤴搹㘷㤰ㄵㄵ㑡㌶搲㐱晥㌱㘴〳昱晦愵㘳㜸㐵㍡㡢㔴㘵㌵㝥㔹㤲㡣昴捦㜲挰攷㤰㘵攱扢㔶㈲㈲㉣敡㥦㐷㑤昲愵ㄴㅣ昲愵㕦㘴挳㤷㤸㝤ㄹ㔹㔱攳㘲㌷つ㌵敥愹㑢戵晤ㄵっ㔵〸ち捥愱㝦㌵㉡昰㐱㈱ㅣ㈸捥ㄵ〷㍢愴っ愵戶㈹愸㜹㠵戰㤱つ㜶搴㜰㐸㌶㈸ち攱㈵ㅢ慡㔱〳㜵㤹晥〴㌲㠵昰攰㥥昴慦昱㠹㘰㤰㉦㝣㌲㉡挸ㄷㄲ〶㜲昸㔲换ぢ〹ㄷ搹戰搸昲㐲挲㑡㌶㤸挹ㄷ㝥㥤㤳捡㡤愱搰慣慥戸㐱〹敦㙦愰搰㥦ㅤ攰摡敥挱㑦㕤㔵捡㘷㉢㘷捦扥㍡㤰ㅢ摥㥢晢挸㠷晢㥥㝡攵㔷㝦㝥晣户ㅦ㍤昴户搷㥥㜹收户㝦㜹晣攵搷㝥扡㜰攸ㄷ捦㍦晦昳㍢㥦㝤昹捦㍢捤攷搴ㄷ㕦㥤㝥敥愱戱㜳て㍤㘰㥥扥攱攸㐳昷摥㝦昷搸散㐵㈳搹㙣㑦捦昵㐳扦扣昴㍤㠳て㍦昰㐳攵㘷㝦戸挴㔱攴㜶昱㠲收㘵㜰摢㜲ㄹ捦愲㠰㘵㜰挵㙦敢㌲戸㕤〹愸戳ㄱ愰㈶㔰㐱ㄵ挶〵挸㠶㔲㜳㐳敦㝦〰摢㡥扤㈲</t>
  </si>
  <si>
    <t>Weibull</t>
  </si>
  <si>
    <t>Beta</t>
  </si>
  <si>
    <t>No Fit</t>
  </si>
  <si>
    <t>Uniform</t>
  </si>
  <si>
    <t>CB_Block_7.0.0.0:2</t>
  </si>
  <si>
    <t>㜸〱捤㕡㝤㜰ㅣ攵㜹摦昷敥昶㜴㝢搲㐹㘷换〱㥢〰㍥㠸〹〴㔱搵挲㜶㙣㈰㡥慤て换ㄶ㤱㉤㈳挹〶搲㤴昳敡敥㕤㙢昱摥慤搸摤㤳愵搴㠱愴㘴㤸㤴㌴㑤挲㈴改搰㝣搸㤰㘴㔲摡改㐰㌳㥤搲㑥摢改ㄷ㌳㌴愹㍢昹愳㑣ㅢ㍡搳づ㐳挹㘴ㄲ㔲㙡㘶摡㈴㙤㤳搰摦敦摤扤敦㤳散㈸昶㡣搶搶㜳捦晢扣摦捦昳㍥ㅦ敦戳慢〹㑤搳摥挲挳㕦㍥〹㈲搷捥㉣晢㠱㉣つ㡥扡㡥㈳ぢ㠱敤㤶晤挱㘱捦㌳㤷㈷㙤㍦㠸愳㐱㌲㙦愳摥搷昳扥晤㐱㤹捡㉦㑡捦㐷㈳㕤搳㔲㈹㈳㠶㝡戶攱㕦戶㕡㌰㔸㌲ㄲ〴㘸愵昵㈴〱㘶㐷㐷愶收ㅥ挴昸㌳㠱敢挹摢㜲挷挳㔱昶づつつづつ敥摣㍤昴敥挱敤户攵㐶㉢㑥㔰昱攴摥戲慣〴㥥改摣㤶㍢㕡㤹㜳散挲晢攴昲慣㝢㑡㤶昷捡戹敤㍢收捣㥤㝢㠶㜶敥摡㘵摤㜱挷㥥㥥㉥㡣㝣㘴㜴攴愸㈷㉤晦㜲㡤㤹攲㤸㔳愳㈳㠳㐷㘴㜰戹挶㌴㌰㈶㠶ㅣ㜳㑢愶㕤扥㑣㠳敡攴昲㡥㌱㔹戰㈹づ㈹㍤扢㝣㜲㄰换㙥㘲㌴㑡扢〷挷挱昱㠲改〷愳搲㜱愶愵㐵愶昵㤴挸㌳改挹㜲㐱晡扤愵〳㑢〵改㐴搵㝥慡㜴摣昴㡥㤸㈵㤹㈰搲㔷ち攵㌶㔱㤴攵挰づ㤶㌳愵㘳扥㥣㌶换㈷㈵㥢攸愵㠳ㄵ扢㤸㐸㠸㐴㐲㡢摦摣㘹㌱㑡㌶㠳攳㕥㘱㜴摥昴〲㔵攲〲㠶㍡戵㙤㌸㈱㙡攱㑤换攲㈹捡戵昴愲㤸㘶散搲晢愴㔷㤶づ㈷愱昰〶㕡ㅡ㈹㥥㠴慣慦㌱愷扡ㅢち㐶㜴㐷ㅡ挰慤㜰ㄶ㈳㑤搰つ㤰散㘱晤扢㡤っ〹扤挴ㄳ㙦㐲㝦ㅡ㍢戰㔹㉣㙦挶昲㜳戱㝣㈱㤶㉦挶昲㌲㤶户㘲昹㤳戱晣㝣㉣㙦挷昲て挶昲愷搰愶晡愴扡扡㘲搱昳攸㕤攷晦㘲搳㐳㡦ㅦ昹㡤挷攴㜷㉦㕣户改㍦〴㔵㐶改㑥ㄶ㠸戱〱㈰戹ㄱ㘰敢㘱扢攰戹扦㤴㍢散㉥捡ㄲ愴㤰㍢戰戴〰㑤㤲挵㥣㕢〹ㄶ㉡㠱搱捦收㥢〰㠴㜸ㅤ换攳ㄲ晢㜷ㅢ㤵慦㍦昰搳戱戳挷晦㘶收挵挷㜶搸㠲㥡愸挶扥㡡㡤慦〶㐸㙥㘶㡦摤挶ㄶㄲ慥㈱㉥扥ㄳ昵晥攴搹攷㥥换ㅥ晦摦愹捦摣戲㘳㝦㍣昸㐷扢攷㕡㔴摦ㄳ戱㘹捣㌳㑦攳慣搵㡦昱敤㠳摢昹敦攲晡ぢ昵戵㜶㔹扢慤愱愱攲慥敤收づ㔳㈷愳㉦昵搴㜰㝦㍤搶扤㜶戹攸㥥㔶挷愸挷ㅡ户㥤㐰㝡慡搰㘷攱㈷㔴〵㔵捥㔸〷㤶㘰㐳ち攱㠹摢㘴㡤㑡㉦㠰敥〵换昵㘳㜸敤㠸改换㝡㜱㈰ㅡ㝢挴慤㤴㡢晥摢㍢㔷捥〴㘶㈰慦㘹慤慢て搲搶㙤〶㝡㈹㝤戵愴敢㕢扢ㅤ㌷㥤㡡ㅣ㕥戲挳敡敢㕡慡愱愱敥摣捡戵攳㥥㝣愸㔶摢戶愲㘱ㄸ昲㐵㌵㜶摢㉥挳慡㜰㕤戹搱㜹搷㤷㘵戵扣㠱搲㔱扢㜰㑡㝡㌳㤲㙥㐰ㄶ搵㔶摦挶慡挸㑣っ㑣㤵戱㔱㈸㝥昱挶㐶㉡ㄹ㉤换㐵㔹挴㝡ㄷ挰攵攵㔹㜳捥㤱㔷㌵㌵〹攷㐴挵㤶㈶昲戸㕢愸昸愳㙥㌹昰㕣愷戹㘶戸戸㘸挲㌴ㄵて扢㐵㤹㔰㡦ㄶ㐲愱挵攳㐲㘸户㜴搲㜱㡥敤搳ち㌴ㅣㄲ摡㥡搵ㅢ㌷ㅣ㈲㌶敥㘸㍤㙡㈳〳㘹㌸㘴㙣晦慥㔵㔷搲㜸〸搹㝡晢慡慤㍢ㅣ㔲㜶摡摣慣㜸㠳搳㤰て攴攰㐸㙡㘵㙣摢捡㐳搶捦攵㐵㔶摡㈰ㄵ㝡㝤戶㕥㠵㘹㙡搸摡搹扢戲㡤㘳戱晥㘸昷〷ㄶ㘱晡づ㤹攵愲㈳扤㔵㘳ㄶ挱ㄵㄹ搷ㄱ㕣㑦戰㤵㈰㐷㜰〳㠰晥㙦戰㜱㉢㜲㤴ㄶ㔸㉣㠹㘵晤戴㕤っ收㤳昳搲㍥㌹ㅦ㠰㠶㔸㈷㤵㈲扢捦㐵㝦ㅢ搱戲挲㠰挷㜸〷挱㌶㠲㥢〰搲㘹㉤昹㑥晣㙡挹戴㜱㌳㝦㙥〱攸慢㝡攰㕣㜸㌲搳㥡㑥户昱昳晢㐰㌵愱㜲戹㠸㠹㝣扤㠴㜱晤㜸扣ㄳ㌷づ㤹晥㝣㐰㐵㕣戵㔲㜹扢㜷㘱㈹挶慤〰㍤〳〰㐷づ㐹〷㙡㝣戹挲㈹㥤慥昳愲㙥㥢㕥敥慡搲捣㜲戹㌰敦戹㘵㠴㤹㘳㘶㘰づㄷ㄰㥢昸挲㑣㤶㈶摤搱㑡㤰㉣ㅤ戲昱搳㔳㥡㤶ぢ搲っ㐶㘱愶㠳㑣㘹ㄲ㜱㡤戲愳ㄳ挵㈵扤ㄴ㠶㈴㘳搲㉦ㄸ㡣㕤㈶㘰㤶㤶㤲挰㘰㘷㝢㑡㌴㌴㜲㈹攰搰㕤愵愳㈶㘲㥦挰㐰愳〱搵㉢挴搸㌳愳㘸搵摥改愸㠴ㄱ戲ち㙤ㄸ愵㕢ㄱ挲㤱㌴㥥ㅣ㜸㔰㌸搹㐴〴㕢㌵攸㔸㘰㍢晥㘰挴摥挱㌱ㄷ戱慤㔴㠱㌶搹㥥㑣攲㠰㈵㔷ㄵ㔶慢愲㌳昸㤹㉡捣㠵挳㘲㈹〷㍤户戲挰〰攸戲㡤挳㉤ㄹ户〱㥣㝤昳昷敥扡改㡢捦扥ㄵ晤㍥〲ㄵ㔲㡦挱昸挸攰㜹㘷ㄱ㍦敡㌱㝥ㄹ㍦改搵敡㜴挶㔲ㅤ㉤敤ち㜱㥡扡㐷㤴戰摢㔹㑦慡挰㌳愵ち换ぢ㌲㔳扡搷昵㑥捤戹敥㈹ち扦㔷㤵晣㜹㈹〳㐶㜳摤㔱昰㑡㕣〸ㄱ㡦㌷㐵㙥つ㘱ㅦ攳挰攴づ㠰捣戰攳攴慡㈳晡挹㥤㈰挵攱㔱㤲扢㠰㙣戱散㠰㔱ㄷ㙣㔰㙥搱㜴散㈲㘲㠱攲攰㤲攳㉦㠹㙦㘲晢っ扢㝥昴昱㝦㝤㍥戸改攵挹愷扥ㄵ㕣㜸晢摣ㅢ㥢挴㌷愲㡡戶㔸㡦㈱㥥㡡㌳昷〰㌱敥㈰戸㤳攰㉥㠲昷〰㠸扦㐵㔷ㅡ慢ㅣち晣慢㥢㥣昷愲㘴散㈳搸て〰㤳愳㐴〰㡢㌳㐲ㅡ㉤㑥㕡ㄳっㅦ㘹㘵㡣㌱㠲〳〰㠲㜱㈲昵㔱㌳挶〱㔶ㄴ㉡戵戱㕤愸ㄳ愰愶㡤㔵敡〴㈳㌴ち搶㈰㈳つ戲捥㈰摢挴㜳ㄱて摡㤸昳㙣㔴搱ㄶ慣㌲㐶㔵捣㤹收㈰㌳〴戳〴挷〸㡥〳㠸㘷㈲收晣ㄵち晣慢㌳攷㍥㤴㡣晢〹摥て搰挰㥣て㤰ㄶ㌱㠷昱慦㘲捥〳㈴收〱〴挳攰㤰㌹㈷㠰慤挸ㅣ〶捤敤捣㈹㠰㥡㌶㔶愹ㄳっ戰㍢㌱攷㜳㉢㌱攷戳㔱㐵㙢㉣慥搳戳戵摡ㄶ㜵挷愹㐵㈹つ昱て愷㑣㕡挷捡㜶攰㜷㕢挳㤵挰ㅤ户㠳㌱㍦攸戱〰㠰慡㉥搷㈸㠷摥搰㘹挰㍡㙥换搳戳搰慥慤敤㔵戸晥㡤㔶晣挰㔵㘶昳晡昶晡㌱昷㠸ㅢ㡣搹晥㠲㘳㉥㙦敢㔰ㅤ搶摣㍢㉦换㠸㌰㍤㘸搰挵ㅡ戹ぢぢ戲搸㘱㡤㌳㙥挵㉢挸㠹戱昵㄰愳㡡搰晥㙢㌰㌱戰晥攲愶㤵㘳戲〶扥㌳㑥㠹挱㉣㠹㌵㠶㌸戴扢㥡㔱㈲挴㥣㌸敡㐶ㄹ㈸㑥扣捥戸㘷昵㈳搲㄰昵㔲て搲ㄶ挴ㅡ搲㌲搱戵㙡愲散摢㐵㤹㡥㑡㠷敤㜲㙦㠴㑥㔵㠲愶ㅡ㜳愹㍦慡㠱敤㥣㉡㐳昴〵搳㉢慥〷愹㘰㘳㜸㐲㤱㠸㈴晥慤㡤搱攱㌰㥡㜶愱㥡㌸扢昰〸㤴摤〵㤹扣㘶㜸搹搱㤵搵搴ㄱ㐸挳愵愱て敤㌳㘴㜷㡤㥣㘲改戰㌴换㑡ち㌳㐱㜱㑣㉥昶慡ㄶㄲ〷ㅣ㔹ㄷ㐷昶㌷ㄷ㔵㐴㘳㔸挳㜳扥敢㔴〲搹㕢挳㤴愲ㅢ搶戴㜴㑣㕥〰㝢㙡搸搱㐲㠰㉢㜲㙤㍣㕥敥搶㡦㠴挰㤱㐴㈴㈵愱攴㤴㕣攵昰㌶㙦㠲㍡戴㐶愹㈲㔶戳搴昳挶㍥昱㍢㑦昲㜹㘶㥦㔶㐵搲㝣㌴㍤㠷攱㉦晤㠶㐷㑤敡慦㈶ㅥ㐲ぢ愷㡣㔷㑦㤵挶换㔵挶㔲㜶てㄹㄴ㈶摣晡愸㍡づ戲愱㠱㕤㌰ㅤ㘷戹搷㥡㈸ㄷ㥣㑡㔱㑥㥡㜳搲愹摡㙣搷㉢慤ㄳ㜹愹㤴㜱㈸慢㔵昸ㄲ㕤㝢㈷㤰㌷慥摥㈷搷㙣收㌴㘳〱㙣㔵㉥ㄷ㘳愴つて㈵㡡㠶㤷戹㥦晢㍡捤愰㘲㘳㍤ㄹ愴昲㤸㌰㙤㙤㈴摡㌴㕥㉤㙡㌷㜲愵㜱つ捤㈶摤㐹ㄷ搹㤲㘲〳改㤰ㅤ㤲搶㡤㕥㈹㌱㈵㤳挹戵㍡ㄸ昰ち捦㠵㈸慥㠷搱ぢ换晢挸㝦㑡㠰㌷摦搶㑢㐹㐳㈰愲㝣扦㌲㠲㡣㜵晢㘸挱挲挰㘱搶づㅣ搹㙤愹㝡㠵愷愸ㄲ攴㘶㤷㌵㍢㡦〰㝦㉣㘳ㅤ昴散愲㘳㤷㈵㠳㄰㘴敦㤸㍢㥥㤴㈷㤱㘷㍡敡晡㌶㕦㔲㘴慣㔹捦㉣晢ぢ扣挷ㄵ㤶㌷㌶㤵㤴戰㜴㙢挴㉥㐳㠱挲㌹㠹昷㔹㌳昳敥㘹扣攷愸㤴捡〷捤〵㝦㕤〸ち㔶㈸㝡㐲慤㡡㠹㔸㑣愴㘲愹戵晡㉡㜵敤㘲㐰愰摤㡥㜱㘳〴㤱戸㤸愳㔸㐵㘷㈹愹㈸搳㐷㥤攵扡㥡摥ㄲ㜴㑣㌳搴㕥ㄴ愹㥣㑢挰㍥ㄵ㠰扢てㅥ㥢愸攷㠷㝦愱㜷㍣㍡戳㉡慢戸〳㜵㌴㙡挹愸户愱㜱㙦㜸㕣㐸攳改㌱㤴搴㔹㙡㍤㠲㘹㑢戵攱㘹㠴〷㘵㜳愲攳㐸ㄳ昴㐰昹㘱㝥㤱㕥㠱摤敤つぢっ改㑡愶攳㐷㜵愳㙥愹㘴昲㜸昱㘸捥挰㜶换㤴㡡慦㘱㑤っぢ㐰㥤挱㠸㘴㉥㠱㘴㉥㈹ㄲ㕣㌲ㄳ捣ち攷㔸敥㐹搳戳㠳昹㤲㕤㐸戱挰㈴昰扡㌸㤷㌸㐲㉡愵〱㠶昲㔱㠷ㄳ挱㙡㙢㉡㈷捣㍥㐰摣㠳戸㍦㤰㜵ㄴ㍦㑥㙦㑣昹㜱戱挶散ㅤ㡥慦㌲昸挶㘹㡣愶㌳敢〵搳て㠸愷㈱〸〳㐵ㄹ㈲挱㐴ㅢ慢㡤愵〸㘱㈱挱扣搶慡〹ㄵ㥥搹昴愴㙢ㄶ挷昱㥥挰昵扡愲㜷㤲㈹㠸㤶㘶挵换㌲㠹㌶㡡っ㌴㌲摢㡢㠸㠵扤ㄴ〹㌳㐸㑦㈵㤸㝥㑢㠶㌲㈴㙦㌴㕤敦㑥㜵㥡㙢愲㍡搶戶㈸搹搰昸㤶㜵愲㙤晣ㅦ摣戳〷搶㤵摢㔲慦㙡㤶㠱ㅡㅦ〴㄰㑣捦㜱㍦㉤つ㝥㡤つ捥〰攸捣搲戴㙡挹㡡〹㈷づ慥㤷㤸〸㑢㤵戸ㅤ㠴ㅣ㐹愴挷㤰㔰〳㑢㤲摤愹〱づ晢㈱㠰㝦㌸㝦㝥㉦㝥㌴挱㡣㑥㜵㝥收㘲搲㘹愵昰て〳㌵攸ㄷ挴ㅥ〰㤵㜲つ㉦㈵ㅦ㐱ㄱ㈲㔱㤷㤲㕦〷ち㜷㈱㤸攳攰挵愴晡㌴㐸ㄲ攱昴愳㈰戳ㄵ㤳㈰㕢搹〴㌲扣㔸㜸㈶㤸㉣挹戱戱昱㔱〲捥慤㘲㠴挷㠰㜰㌰收㔱㙥挰㕦昸慣攸挹挴㝢搱㠰摥㑣㔳昹つ㌵㜷㡢昵ㄴ㤴ぢ㉤愸昱㌱〰戱ㅦ㠰㠶〹慢って敡攳挰㉦㝥㔰㤹㥦挱扥㌴攳攳ㄱ挲㠲ㄸ〳愸㌲ㄷ㈸㔶㑥〱ㄹ扦㐹昰〹〰挱攴㑤㠷〶扦挵〶㥦㘴㠳㜱〰㥥〰攳㔳〰㌵愱㑤愰㔰敤搶㈰戴㑦戳攱ㄳ〰㘲ㅡ愰㐱㘸㥦㐱ㄱ换㔳㐲晢㉣㔰㜲㤰戹㤷㤵㠵昶戹愸ㄵ㤳㌳㤷㉣戴㘳㘸㥣挳㥦㘶晣㌶㐱㑤㘸㑦愲挴㈹㤹摦戹ㄴ愱摤㠷㜶愱搰㤸㜷攱捡㕢㕤㥥戸ㅦ㘴㈵戴捦戳㥥昹愰㈶愱㝤ㄱ㠴㡢ぢ㡤㜹㈳捡挹昸㔲㠴戰㈰ㅥ〰愸㌲ㄷ㘸㔵㘸㘷㠱ㅡ攷〰㐴ㅥ愰㐳㠳愷搸攰㘹㌶㌸〱愰㠴昶㘵㈰㌵愱ㄵ㔰愸㜶㙢㄰摡㔷㐰㌶扥ち愰昳扥㝦改昹㠵㙣㐳搲㠷摥搰摦㘰摤㔳㐱敥㌲㔸㥥挲捤㈳㈰㘹㍤戸㥢㐴㜸晦㙢㝤ㄷ摣晣㝥ㅦ愹ㄳ戵㠵㕦昹㔵㘶戹㕢㜹搰摣㌶摡㥢捦㤶㙢扢ㅦ愶昵昷㈳〳㜷㘹戳昰㐴㜴㉤昲㌵㐳㍥㡦㔷㐵㈸㔱㠳搳挶搷〸㜱愴㤹㤷㔱㐷攸㜷㠱㔴ㅦ挱っ㐲ㅢ㔵攷㙤㘷㤵㌰慤攵㙡挵晥晤㜵愷挲昰㘱挰攱㠷㍢㥤扣㔱㜳戴昶っ愷昷㍡慤㐱㌰㤰㔳㉢晢晤〸攱㜶㜴㍡攳㡢晡晦〴ㅡ㈱㘹㠴㐸㘰㈶㔸㜶㄰㝤ㄱ㘵㙡㍥挴攸㙥挲㙡㉣摡昵㜰㥤㑣戴扥㡣慢昵扤ㄶ㐳㜵㙦㙡㜹昹愹扡戱㠶㠱㠶㍥ぢㄱ慤搸㥦㍢愸㑢㠵㝤昸㈴晦〰㘰㤳晡愴挲㜷慤㈰㌷㠳㕢㐴㡥慦挳㉤摣㈷㠷昵㘹㡣搸㜱㑥㙥㉣㔱收㌷㉦㑡搰改㔳㘵昷㜴㔹慤㐶昷昹㔵㠰攲㔷㔷ㄷ愷攱㉤㔳㍤敦〰ㄷ戳っ㑡搸搹㜸ㄶ㈰ㄳ捦搲慢昳挹搲戳昳挹搲㡤昳挹㥥〹㝦戵扥て〱攱㈸挹㠸㜰搹㝥戲て㘳㈸㑡㌳昹ㅣ㐰捦攸㐸㕥㐵㌱搳㜸㜳㥥晣㐳㔰㌶㠰搲晣挱㑦昲敢㈰昷㠲摣㜰㐱挸㍥〲ㅡ㐷㔱㕦挹ㄸ㝦㐴㡣换ㄵㅦ〱愰㠱㑡㡢扢挱㐷㉡㔰愸〸捦㤳〶㐵㘰㉣愰ㄸ搵愴〸㡦㜶愴㝥ㄴ㔴㉡㠳昱愷慣㝥慣㘳㥢㡦㔵愹㝦ㄶ㈱㥣㑥搰ㄹ昳戰㡡㌱㉣㠰㐷〴戸㘶㔰敥ㄴ戱ㄸ〱㠵㘲㙥ㄶㄳ㕤戲ㄲ搳㕦〲㠱㤸攸㝥昹㘴㍦ㄱ晥㙡㔹晡㕢㍥㔹晡㕣㍥㝤㜴户㔷㐶㑣㜴搲㡡挱ㄴ㤳㐱挹ㄸ㤴㐳昶㠹㉡㝤〳㐹㉦㄰㘴〱〴㝤㜷挸昸㍢戱戳㍡攳㕦〴㥤㡣愷㍦㙦㘷㍣晤㜷㍢㤵㙥㔹㌱晥ㅢ慣愶㕢㙥㙦愳ㅣ㉡㙡㡣扦㡦慡ㄵ攳改㔰ㄵ攳㜷㘲ㄱ敤㡣扦扤㈳攳改㔶ㄵ攳扦〵〴㡣㍦㡢ㅦ㍥搹㜳敡〷挸㔳㔵㠴㝥㤳㑦摦㤷〱慥っ攳扦㠲㤱㍢㌱㥥扥㔷搱慦〶㘲扣㐴㜰ㄵ㠰愰㠹㔷散昹㈷㈰㙣挰扦㙣昵㜸ぢ㘵㘴㐱㌱㙡ㄴ㔶搳慣慡㉤㝦ㅢ㐸㈶慥搳㌲摣戵昲㍢㠳〶捤ㅢ㠰晤㙦晡摡收〰扥㥥㔹㡥愱㝦ㅣ㜷ㄲ㕤㈹㜳㈲㜶攷摡挶愲㜷㘵㕣捦㍦晤㘶〸敢ㄷㄸ㠷㍣愹ㅢ㕦㡥戸ㄵ㝦挶扦〰〸摡㡢㕥㤶㕡㕥ㄴ摥㠸㈹㍢扥㐵扤㈱慡㘸㝢㡢晡㍣㠷攳㐸慦〰㔴戹㉦㤴挱㈰戵㠹改㌴ㄱ㡡改慦〲挹挴〵昵㥣㡣ㄷ搷㘱㜴敥㔶㉤昰㌵㔲㕥〰攸戴挰捤㉢㉤昰敡愸愲敤㑤收㡢ㅣづ㝦挶昷〱㙡ぢ㔴㡡㐵㙡搳〲愹㑡㙡㠱㍦〰㠲〵㔲ㅦ搴〲晢ㅢㄷ昸〶愸㠲攷慦搳〲㝢㔷㕡㘰㈶慡㘸㝤㥢㤸攵戱㔵㤳晥ㄷ㄰攳扦〹㝥〸㤰搶㜹㌴㙦㕤昹ㅣ㠵㜹㡦晡搷㙤㝤㘸慥㕢㜴昴摤㔶昸㜱ㄹ㑦㤳㝡㝤攴㈸㉦搹㠳ㄴ㠸㠷敦换㈶㤱搵㐳攲〳㥦㙤㐶㝥〶搹㍥㕥㐵慢㤷㙣㐳㤵搸㌹㘹㑤㜹戸㜵㜷㔹ㄳ㍥㜲㠷挵ㄴ㍥摡挰晢㜷慦扣ㅥ〲㔶挴㉤〹㙡ㅤ㠴捡㌷㝥戱㡥㈱〳㘳㠱搶㑢㜹㐳㠲戴捥㡦㙡㤲㍣挶捣挹摡挲搵攴㡦㌰㔹晤㐳㈳ㄵ愳昸挸㈴㐲敥捡搷扤㝥晢㤶户戸㕣㘴㘷㌴攳㝦昰愳㕥搰ぢ戵〷摣昸㡣晦㈳㠹㜷㌱〵㌴㥤㡡摡扡㈹〶㙦攳散搱昲㜹㔴㜷㌷㜷晡捣扥敦敤㝦㜸晦攳挳搹㔷㔰㔰㐷敡愷㐰㡣㥦ㄱ㜰敡戴愰攲昱㔸ㄹ㕣㙢㑣扣昵戳㑥㙢㡢㐱㕤㕡搶挶㤷づつ㙢ㄳ慦愱㍢搷㔷㥢㤱捡愵㘶㑣戲㘵ㄷ㐱ち㈰㉤愸㐹つ㌳晥戰攳㡣摤㙣扦ㄳ㉤敢摣挸㤰㔴攷㠶愰搲㌵捥㈸愸㉤㑡㌷摦挴㤰㌴ㅥ敦〱㈱ㄵ㑢ち㙡㤰慡戸㄰㔵散㔵ㄵ㐲㔰慢㔴挵㝦㐶ㄵ晢㐰㌰㌶㘲㈲㥤攲戸攴㜳㠲づ㙢㡤昸晢搱㔷㔰搰ㅣ挳搸挴㔲㔴㄰ㄴ㤵㕡摤敢㉤晢愱昸㔴挵昷㕢昶㐳㤱慡㡡敦㌵敥㘷㌳〷愵〸搵ㄱ摢挲ㄲ愵㠷晦昸挶㌸㐲㔸㐰㝡㌰敡晥㥤㤶〹㈹㍤㌵敥㙢㉤ㄳ㔲愲慡攲摦ㅢ㈷扣ㅥ㔴㐱〹慡〹户戲㐴攱攱㍦㍥晡㡢㄰ㄶ晡挸改㝢㠱挴㤶㐴攱㐴昱挴㠹ㅦ昷㈵㜲搷㈴敥摢摦昳攴㉢摦㝣昵㠹㤷㍥戰昷扢㍦昹挲ㄷ㕥㝡敤㠹昳㍦昹昳戹扤㉦㍥晤昴ぢ㜷㥦㍤晦敡㐶敢㕣散㡦㝦㍣㜹敥捣搰愹㌳て㔹挷㙥㍤㜸收晥〷敦ㄹ㍡扡㘱㈰ㅥ敦敡扡戹晦敦㌶摦㤲晤昰㐳㝦㈲晥晡攵慢换㐲㜱㤷搳㔶㡤㍡㜰㉤㑢㉥慢愳㜹㈳㤰㑣扣㡦っ扡愲换㔰㍣㙦㕢〶㜹慦㤶戱㉤㕣〶搹㜶㐵㤷愱㈴搱戶っ㑡㐴㉤攳㥤㙡ㄹ㠲㑣㔱㌲㝤㌹㤲改〸扡㐰搰㠲换㔴ㄵ摦㙥愹㘰㐷㔵昱捦捤ㄵ摤晦て挹㡦づ昶</t>
  </si>
  <si>
    <t>㜸〱敤㝤㜹㝣ㅢ挵昹扥挷戱ㄵ慦攲挴捡㐱㠰〰挱〹㌸挴㐹㙡㉣挹戲㈵㈰㔸㠹㜳㤳㡢㌸〷㘷㡤㙣换戱㠸㙣ㄹ㐹捥挱㝤㤵〲愵㔰敥㤲㜰㠴〰攵㉣㘷㌹㑡戹慦㠶ㄴ㑡㌹㑡愱㈵㄰㡥㜲戴㐰〳愵㠵㜲晥㥥攷摤㕤㜹戵㕡挹攱晡晣昸攳扢戱摦捣捣晢捥㍢敦晢捣散捣敥散扢敢㈲㔵㔴㔴昴ㄵづ晥捦愳㠴㠹㥤㥢搷愴搲搱慥㥡愶㐴㍣ㅥ㙤㑢挷ㄲ摤愹㥡㈹挹㘴㘴捤摣㔸㉡㍤〰〲慥㤶ㄸ昸愹搲㤶㔴散挸㘸㔹换捡㘸㌲〵愱搲愲愲戲㌲慤ㄸ晣ㅤ㡤㕦㡦㤹搱㔸㑢㉢㈱㠱㔴㤱收㈲ㄹ㐸㔲㐶愲㤱戸㐹〶㤱㤴㤳っ㈶ㄹ㐲㔲㐱攲㈱ㄹ㑡㌲㡣㘴㌸挹〸㤲敤㐸㐶㤲㙣㑦戲〳〹摢搷㐶㤱散〴㔲扥㌳挸攲愶愹ぢ㕡て㠷㌷捤改㐴㌲㍡愹㜲愹㙥昳㘴慦户挶㕢㔳搷攰慤慦愹㥤㔴搹搴ㅢ㑦昷㈶愳㤳扢愳扤改㘴㈴㍥愹㜲㘱㙦㙢㍣搶戶㕦㜴捤攲挴㡡㘸昷攴㘸㙢慤扦㌵㔲ㄷ昴搶〵〲ㅤ愱㔰戰㝣ㄷ㘸㥥摦㌴㜵㘱㌲摡㤱晡慥㜴㡥愶捥〵㑤㔳㙢收㐷搳摦㤵捥㕤愱ㄳ㉡愷㈵扡㈲戱敥敦㐸㘹㈹晢㌴㌰㉤摡ㄶ㘳攷㐷愳挹㔸昷昲ㅡ㤸㥤〵㌴㜲つ㌵㔳㔲愹摥慥ㅥ㡥愳愶㘸㍣扥㈸摡㈱㥤摥㌵㉤㤵㕥ㄸ㐹㜶愵捡扢㠸㕦㌴ㄹ敤㙥㡢愶㠶㜴㑤㕦摤ㄶ㡤ㅢ㠲愹戲慥愵㤱攴晣㐸㔷戴㠴㠹㡡㉥扤て㘷户㐷扢搳戱昴㥡挱㕤㑢㔲搱㐵㤱敥攵㔱㡡㤴㜶捤散㡤戵慢㤲ㄲ晣ㄴつ搸挳挹㌲改㈸搸搳搵搴ㄹ㐹愶㈵挷㉥昴㍡挹㕡㠶㡢㜸㤱㘵ㄷ㠷㔴愵慤ㄶ晢慣㌹搶戵㕦㌴搹ㅤ㡤戳ㄱ昶攴㐴㥢㤰〰愴昷㐳〶㈹搳ㅤ昶㤲ㅡ㘴㥣㝣昴㠵慤戸㉡㐱㐲㜳ㄳ换㜱敥挵摡㈶捤㡢㐶扡㈷搷搵〴㝤摥㝡㙦㐳㝤㕤㐳㙤㈰ㄸ昴搵㜹㈷㌵户㐵攲搱挹戵㌵摥扡摡摡愰㉦ㄴ慡慢慦挷晦㍥扦㌶〶搵戵戱㔴戴ㅢ挸㤰戹㠹㐸㝢㘵㙦㑦㘵㑦〴攷㜶㕡摢㥤摣㉡㄰㔵昲㔷㑣〳搶挶㜹㉡ㄶ户㐴㡡㕢㕡㡢㕢摡㡡㕢摡㡢㕢愲挵㉤ㅤ挵㉤换㡢㕢㍡㡢㕢㘲挵㉤㠷ㄷ户慣㠰㡣㜹㤴つㅣ㔸㙣ㅣ敤戳捥㍥攳㤳㘶昷戴㉢㔷㉥㍡攴挷㡦摤昵㥥攲㤹㉦ㄳ挷ㅥ㐸搴㉤改㡥㜵㈴㤲㕤㤳收挵扡㈷㝢㙢㙡〳晥㠰㉦㔴攷搵摤愹㥦㌴㉦戲ㅡ愵㝤捥㤱敢て㘹攳㔱㔳慢〶㜱㑤〰搹㜵㘱愴㙤〵〶㕣攵㜸㍡挴㐴㔷〴㜳㔶戲戲つ晤㥡攸慥搶㈶㔲㝣ㄲ㠸㔲捦挲㌱㍡㜷㐰㐳攸昵㡤㑦晦㜳晥昵㙡㠷㡥〷㉥っ㕥愴㌸ㄵ㠹㔵㌵㐸〴戳㈱昶晡㙢晣㜵晥㐰㙤㕤愸搶ㅢ慡慦㙤〸〶㌲㄰〷㐳昵㝥㝦㙤ㅤ晥昳㠱㔹慦敤挹愶㙡㐱㕣㕥㤰㠹晢昷㐶攲ㄸ㥢㤵ぢ㝡愲挹㠸㑣㥥㤵攳㥢㍡愳扡戹换㈳㍤㤳㉡搳搱㔴扡戲慤㌷㕤慤昹㔸搵て愲搴ㄳ㠶㤵㜳ㄳ敤换㜶扦晡昰㌹㈷㍥㜹挴㝢敤㤵㥤㕢ㄴ攷㑡戱㌲㠰挴㕥搹㔶晡㙡㠲晥摡㔰㙤㝤戰摥搷㔰ㄷ愸つ〵敢㌳㔶㝡〳㜵つつ㍥慦搷摦㄰挰昸昰㝢㝤㕡㍤ㅢ㙢〰㜱〵㐱㐶捦㡣昷ち㠰㡢㈳㍤晣扦㉤ㄱ㑦㈴㉢㕢ㄳ慢㉢㔳㥤㌴㉤㐴改扤㐰㤴㝡搴㌰敤㤹晦扥扦㑦㘹搵攸㔹搷㥥㜵㝣攰㥣㉢户㔷㡡㌳戸㤸戶てㄲ慤㔳愳改㠸昴㘹〳愰慢昷㜹㙢㝤㍥㙦搰㕦敦挳㌸㤴㑥つ搶搴晢㠱愴㉦攴慤て搶搵搵〷〳愱㐹㔳攲㍤㥤ㄱ昴㜶㕤戰㌶㔸ㅦ㠴㉦つつ戵摥〶敦㈴慡㐲㜱愰㤶㍤攰㠳昵挱㠰摦敢慦搷㈶搳愸㝤㐱㕣㡤㈰挳㥢愳㘹㡥攵慥㐸㕦捦㙢㘱㡡㑣〱㔱敡㍥挳敥㑤㌷敦㝦挸ㄱㄷ㕥㍥晢愲㈷㘶㍦昵戳搸挸㘶挵昹㐷散㙥㐲㈲㘰ㅤ㡥㜵㌵㜵㈱敢搰昳晢挵昴㐰㑤愸㈱攸戳㡣㔳扦㌶㡤敤㑣〷㜱捤〰愹捣㡣挷㠵扤改㌴昱㑣㈷㘳㕤㕤ㄸ㤰戱敥捡搶挸昲㙡㙤㈶攵㘷㠱㈸㜵愷㘱搷晥敦㍥扤敥昱昷㝦㌶㜷摤㥡戵敢㔲㉦㝣㜵㠷攲㍡㈸㜶捤㐱㘲挹戲㘸慣戵㌷ㅥ㥦㌴㌷搱㈶攳〸㠰昸㙢㠳つ㕥㕦㙤㝤㈸㄰昰〷㙢㝤㜵㝤扤㕤㕢搷㔰ㅦ昴㌵搴㘲㈵昳〵㙢㙢㌱づ㍡㈳㍤搱挹晥㥡㐰㠳搷㕦ㅢ〸昹ㅡ敡㙢敢㝤扥愰戶ㅦ敤㤸ぢ攲㥡〷戲敢散敥㔴㌴㈹〶㡦㙦㡥挷攴㑣敡㡣㐶搲ㄸ〴㤸捦㔷㔴㙢昳㈹扥〰㐴愹㥢つ戳㙦㍢昴㠲㌵㉦晥慦㝤扦戵㕢㘷摦㔶㝤搶挰昳ㄴ㔷㙥㌱㝢㝦㈴挲㌸慢愷慦㑥㈷愳㕤搱㐹㜳㘳㉢愲昱ㄸ㐶㍢㘶㉣㉦㈶慡㠰㉦㄰挰搲ㄹ慣慦㙦〸㘵㑣昷㘳攰〶㠳つ㈱㑣㔸戵㜵ㄸㅥ摡㈲㌶搹っ攲㕡っ㌲㝡㘱㈲ㄵ攳㘹㈴㠳㜵㑡㍣戶㕣㔲㥤㠹摥ㄴ㑡慡戵㈵㤴㕥ち愲搴戵㠶㠱㍤㌷㙦㕤㍤㘸晢昴搴换㉢㝦扤晢扡㌵ㄷ晦㕤つ〲㕢っ㍣〰㠹㤹㡢㤳㌱㉣ㄹ扤昱㐸㔲㐶慢て㄰〵敡晣摥晡〰㄰昵㠶㠲㜵㈱㡢摤晥㥡㝡慦㡣㠰晡ㅡっ搸摡㕡㙦㙤㐳慤㍦搸攰慦〵㤲〷戲攵㠳㐰㕣〷㠳㡣挳㉡ㄷ敤挲攵〲晡㝥捦㑡ぢ慣㑤ㄸ〸㜲㠶慤㡡㈵愳搵摡㈱慣㜵㈸㠸㔲ㅢっ㝢㙦ㅦ搶ㅢ㕡㜰昱〵昳㝥㌲㙡摣挸晡挵搷搵㤴昲〲挸敦戴㜰搸搷愴ㄹ戸㤶㘹挳挴㘷㉣㤷㍣ㅦ扦摢搵戴晦挵㜴㐶戲敤晢㕦㑣搱挸㜷戲㤸㙡㉤㐴晦㌰㄰㔷〴㐴〵戴㔶ㄶ戴㌱慤㉥㌶扡㘳挴㐲摦㌵捦㥥㝦搵晣㔳㌷㑣㜸昳慣昷户ㅣ慤㜸㈹㉡挳㈷㡡㐴㌴㌳捤〵㙡敡㙢敢扣ㄸ戵愱晡㔰㐳慤慦愱愱捥ㄸ㈹㠱扡摡㤰㌷㔸ㅢ昲昹㝤㔸㠴晤㍥㘳㥡慢慤愹ぢ㌴㠴戰㘴㘳㕥昶㠷㐰㜰晥捡㐴〷㐶搰敦挵ちㄸ挲戹〰㡡㔹㕢敢愰㕤换㐱㕣㥤㈰ㄳ㘶挴昴㔹㈵㝢㘴㜵㈶ㄳ㕤㔱捣㌰㍣㠵慢㉢㈳摤敤㤵晢㌷㘹㌱搶㍣ㅣ㐴愹昳つ㡦ㄶ㝦昰敢攷㡢敢づ摦敦搶㥡愳摢㡡扢户㐶ㄴ慦慢攵㉡㍢㑥攱㉥㄰㔷㌷㙢昸戴〴ぢ㝡㤸㔶㘷ㄹ戵㡦㙣ㄹ晥攸㡣捦㝦ㅡ扥㜷搹㙦摥昲挷㕥㝡㐸昱㠲㕣㙡㈷㈹㥣〲㜱愵㔹挳慢昵戲㘰㈵搳敡㌴愳昶㥡捤搷敥攳摥昷㤸㜹㤷ㅣ㝦搶捦㜷扥敡て敦㈹㕥挹㑢敤搵ㄴ㕥〳攲㍡㤲㌵敡戴愳㔸㜰㌴搳敡㈴愳昶昴攱扢㥣扤戰戸㝣摥㔵扢㠵户慥㕣㔷晣㠱攲㉤㠰昴挵戱㐸昴㉤㌹㔸慤〳㌸㉤〳つ挰扢扥捥挷昹㠵搷ㄱ㠱㥡㠶㘰愸愱捥摢攰昷㘱㠲っ攰搴搶㔷ㅣ㈰㕥㠷㡢晥〶㕣㈷㘱㤵慣慢攳挲㘹㜴㐵〰㜳㉣㝢慥㌶㄰挰昲㔹慦ㅤ㐷愳㡥〷㜱㥤〰㌲捡㜲㘲㉦㡣㐷摡㜸戶愷㝡㜸改㕢慤㥤㐸挹㤳㐰㤴㍡摡㌰㍦昹㘱㘷扣昵晡攷攷㥣昰㝡晤㝢攱捤戳㜶㔳扣㜹ㄱ昳㝦㠲㐴㝢㘶㈸昹㙢㌰㙦㘳晡挳愸愸昳㠶ㅡ戰㕡㡢昹晥㥡㔰ㅤ㈶㑣慦て㥥㘱㠵昷搵晡㌳㉢愶ㄷ㌳㘹㝤㕤㈸ㄴ挲㍡㡦㜵㌶㌳㤲㐲ㄸ㐳㈱㕣戸㌴搴㠷戸挲攲〲昰ㄴ㥡昵㔳㄰搷愹㈰㘳㤶㐵㌰㥢挲敡昱㔳㝡㝡攲㙢㤸㤲昹㍥㥤挸㑣昹愷戱挲改㈰㑡昵ㅡ㝥扣户攲散扤搷㔶ㅥㅤ㕥㍢昱摤晦敥昰晣㤵挳ㄴ敦扦愴ㄳ捦愰昰捦㐱㕣㘷戲㠶㕦㍢㡢〵扦㘰㕡㈵㡣摡㔷慡㙢㍦扦昷扦㥦㑣扦㘶搴㕥㘷挴㉦㘹㕢慣㜸攳㈶㈸㥣㠳㐴愳攳㠲搱〰㐴扣晥㍡㥣㉦㤸㙡㠳戵晥㤰㘵慤昳㘲㈹昶㠵戰捣㠵戰㔸搷㙢攷戲挵昳㐰㕣攷㠳㡣㔹ㄸ搳㉦戵㜰㘱㌰㝥搹散㠵㤳㉡㤷㘱摥慤ㅣ㠷慢慥㘴㔷慣㍢ㄲ慦搶㉥㘰㠵ぢ㐱㤴敡㌴㑣㔴㜷㡦晣㜰摤攵㡦散㜷昹戰㜳搶晢攷㑥ㅡ愱戶〳㕢㑣扣〸〹攷㌵つ㙢㐳ㅤ㑥㝤㝦㝤㍤攰昶戱搷㉣㙢㕡㝤搰ㅢ挲㠲ㄲ挲㕡㕣攷ぢ㘹㙢搹攴㍡㄰搷挵㈰㘳㙤搷㕥㔹搷慥挶昵搷㈵慣㜱㈹㠸㔲ㄱ挳挸㝢㑥戸㝦捣ㅢ㥦敤㍡敤捥㤱攵ㅦ㙦㜷搴㌵ㅦ愸㤱㘰㡢㤱敢㤱㜰挶㌱㠰㡢㈸㉣㔷㈱ㅦ㉥ㄳ敢扣挱㔰㙤㐳挶挸㠰ㅦ搷㔴㌰㍢搴㄰㙡昰搵晢戵换愱㐴摢〰攲扡〲挴戳㌰摥扢㥣㔷㉦㈶㙥摡㤵攴㕦〵愲搴㐱㠶㐵㌷㙥㍣㘱挲散㥢㘶捦扣攳㥥㈵㔷㌵㜵慤㌸㔰昱ㅥ㕣㉣扡ㅡ㠹扥搳戳扥挶㡦㜳戰ㅥㄷ㝤㕣㌹㠳㠱〶ㄹ摥挱ㅡ㙦㄰㔷㝥〱㕣摤昹挰〹㝡晢捥㑥㥣挸㝥㕣ㄱ攰搲ㅢ㈷㘹挰㙦㥥㥣昵摥㈰㑥捥㝡㉦㜰㠵㕢㌸搱戵㙢㘸搴戵㈰慥敢㐰㥣攷挹捣㐸㙦㡤㐷摡愳㤵换㝢㈳挹昶㙡敤㝡搶扣〱㐴愹㘶挳㥤ぢ㐲㈷晦扥攲敡搳挲愷㜵㝤㕥摡㌰晤愳㔷ㄵ㜷ㄳ挴㥤ㅢ㤱ㄸ㙦扤㔰昴晡㙡㠰愹攵搰捦㔸摣㌶搴〷戵㥢愸晡㘶㄰搷㉤慣㤷戹㌶攴㈶㑡昷㜲㥥㜳戲㝦㐲㜴㝢攲㔸扥㘳㙤扣昰慥搶㙥㘵扤摢㐰㤴㥡㙢㤸㜴晢㔰昷捥扦㝡㈶㌱敤昲㥤ㄷ慥㥥㌹㙢挲慦搴㡥㘰㡢㐹户㈳㤱㝢㉤ㄳ昴晡㠰㔰愰〱㐰㘳㈵挱㤵㜷摦㌵ㄸ慥〵昵ㄵち戳つ㙥ちㅡ㙡㌱㑤〴㐳摥㍡㕣㑦㙡㜷戰攵㍢㐱㕣㜷㠱〴㉣攷搰㥥㤵收㍣搷㡡㕢慥捡昱挸㤹〶㑦挲㤵㜷㌷敥㜶㈶㔵㐶摡摡㙡慡戵摦㔲挹摤㈰㑡㑤㌷捣㡦ㄴつ摤㜵收挰愵昳㝦戳昹㑦慢㑥敢㍤㈴慣㐶㠱㉤收摦㠳㐴摦㕡㕡㠷敢慣㍡㉦㑥ㄵ㕣㠳攱摥㉡㠰ぢ㔸捥摦戸敡慡挷㑤㐰㈸㠸慢㌲捣㡥戸㐷攸ㅢ㈲㈱扦扦〱㡢㉥收㠲㠶〶㕣昳晡捣㌱㠲愱搳㄰愸挷ㄴ㕡㡢㤱㠳㌹㍦愰摤㑢扢敥〳㜱摤て㌲㍥敢㠲搲㜴㉥搶㡤ㄹ㜰㔶慣㈷㤱㠶㔳㙤㥤戱㙥㕣慡㍤挰㝡て㠲㈸戵慦攱捦摢㉤换晥㍡昶昹㐷攷晥㜶摤㜹敦㕤㌰攸㠰㝢搵㑥㘰㡢㍦て㈳搱㤶㤹搰敢㠰㌵㈶〷㍦㠶慦㍦㠰晢挷㕡㝤㍤慡慦㠱㜱㐱㙦㄰㜷㌴〱ㄴ㘳㈷㈹㌳愱晢㜱搱摥攰つ㘰挸㘳㌶户摣〳昹㠲昰〱㜷㔳㌸ㄵ㠲昵攸㔰敤ㄱ㕡昵㈸㠸敢㌱㤰〹㤹挱㘵摥㜸㔸㐶ㄴ〷㔸收扥慥㕡晢㍤㙢㙥〴㔱慡挱昰攷攰㝤㘲㔷㍦敦摡㜱摥攵搷㤷㕦㔵㍤攴戶㤱攵㥢挰摥摦搸㠲㤸㤶㡣慣挲㘰敤摢㉦昲搵搴昲㕦晦ㅢ㘵搸㈷敢〸㜴㌴㜴㜸扤敤㠱摡㠸㍦㔲㍡〶㙡户㜵㐷㐶㉥㄰㍡㤶挵扡摢ㄳ慢㘴㡢㘶攷愹㤱㔴戴敦㈲㜳愲挱㥢㥡攸敤㙥㑦敤攴捣㙣㑥攳愶㜰㤴㥤搷愷㈴愷㕡㌳㌶戰愲㈹㘹㙦戴扤摡搲㐸扣㌷㍡㘵㜵㑣㘷敦㘲㘳㘳晢㉡搱㥡㥦㍢㈳ㄹ㍤㈲挳捤戱㘸ち昶㔷㔷㡡敥ㅣ㉦㜵㤶㙥㔷㘵㔳㘷㈲ㄵ敤ㄶ昳㈶㜶昱昴㡣㈶㥢愳摣㥤㡤戶㡢慢摢㤱㘵散愱㑤㕣搰つ㐷戱㉢搶㍥搶㕡摡㠱摢戲㘸㜷㝢戴ㅤ昶㘲㙦㈲扤㘶㜱愴㌵ㅥㅤ㤹㈵愲户〹挶㡥㔹挵㌳ㄲ㙤扤愹愶㐴㜷㍡㤹㠸㘷㜳愶戴慦㡣㘰摦慥㝤㕥愲㍤㡡㙤户ㄲㅥ㐵慡㘸挰〰愵㡡㈶㌸摤挲㔰㙦慡㐶㍡挲搲挵扢㘰㝣散㤰㍤散㙡ㄶ挱㍢㜸ㄱ㡦㜲㑣ㄶ敦摥㡦㌲搱㑢㌵搵昹〵㉤㍥㜱㉢㥢搲攳昳㑢㡢㡤㤹㥥晢㝥㠵㡢㡢㠷ㅢ摥㑦㕦㠹扤捤㔹戸㤶㡦㐷㤳〵㌷攲ㄵ㉤搲晥〰㔲㕡㠷戳㌹㉦㝡摣㝢㔳慢搵㥡搲㔵戱昶㜴愷慢㌳ㅡ㕢摥挹换㜵㙣搶㤷㤵ㄱ摡㥣㐳㝢ㄲ㐵摡ㅦ㐹㥥〲㜱扢㡢㕣㝦愲㤰换慤㍤慤攷㑢戹愱昸昵㜷㑤㡢㔱㑢㤳㕤㕡㙣愹愷㑡扢㜰晢㥡ㅡ㌰挰挹换㔹㤱㔴㘷㥡挳戳㌰㤳晡㥥㈱㜹ㄶ愴㜴㜷㤰㝥㌷㘵㉢㈰㔴挲扤攷挱㕤搳愲ㅤㄱ散昸换搹慤㈲愵㕤晡㈶昲戴㘸慡㑤攳㙥昳㙣㥣㉢慢㕤㐸攱攴㉦敦攲攸㡦慥㑥㑦㡢愴㈳〳扢戰㙦㡤㕥搲㈰㌴㔱㙡改㈹搶ㅣ㉣㘵㘶㙤户㤱㠳〶㡦㈴㉤㕡〶㐹㠱慥〹㈷づ捥㤷愲〱〶㉤散〴㙣攷捤戰换㍥搰戳昷㥦戱㉤摥㍥㌳摡扤㜸㑤㑦㌴㐵昱㌲㔷㐱㈸敤愷ㄷ㤵㉤㘸㙢㕤㤲㡥挵㔳㌵戰㜴㘶㌲搱摢昳㕤敡愱㉥敤㌹㄰昳㈸㥤㠸㔱扣敤㍥〱慥愲㠱㉢搹㌷㉤㉤㐵㘵搴挶ㄲ㙤㌷ㄲ㡥㔶㈸晢ち晦挹愱扤㠰晦摣㠵㜸愵㔵㤰昸㍡㝢昵愵㤰㉦敦〲㐲㡢㤳㔱㜹晡㔰㈶ㄹ愰㍤戸㙢㔹㈲戹愲㌵㤱㔸挱昱㌴㐴㜲愹捥㘸㌴捤ㅤ晤㐱挶ㄳっ㜹㔲愱搴㠰〱㔹㍢敥㤶慤晦㕤愱摦昵ㄲ挸攰㈹昱㜸愵愹㌱攵摡㡣愲〱㜸戶攰㝡ㄹ㠹ㅤ㍢戰㉤㄰㙤㤷㍢㝦㐰ㄱ㙢挷㥡搷㕥戳㍡㥥㕡慤挶挰㝤㙥㝡㝦晣戳捤㜷愶慢㕥㥣㝢昹㔳改慤㍢戵扥㍦㐲㔵ㅡ㡣㥣㍤晡昱㔰挸㘵㕡㝢ㄵ㐴㡤㠶ㄸ愷ㄵ愴戳て敤㜵攴戵㌷㐸晥づ㠲挹㐱攰挶摣昰㤶㥥㔵搵昸㥦昳㠳昶㌶挹㍢㈰㙡㈲〸捦㑥敤ㅦ㈰收愱戶㠳㝥㜶扡㜴摣〴ㄴ攷㜶摣晢㈸㜵㙢〵㜸㙡ㄲ㈴搸㜹ㅡ挱搲〸㡦㐶㘸搴㈰㈸㜶〴挰㙤㌰㜲ㅥ〷散㠹㙡〲挰挷慣㕦〶㌱㘷〰晥挷㌶㍥㈵昹っ挴〲挰ㄷ㝡㔶搵攲㝦〱攰㑢ちㄱ㐲攵〳ㄱ〰㘴㤴㈲挳㐳㝤昵愵〵〰㉦㑡㜲〱攰〳㔹户㔶㠰愷晣愸攷〴挰㝦愰摣ㄱ㠰㡦っ㐶捥㤳㠶㝡㘸ㄲ〰〶愳㔱昵㈱挴㥣〱愸〰㕢昳㤰っ〵戱〰㌰㕣捦慡〶㈸ㄲ〰㐶㔰㘸㍢㄰ㄵ㐲㤱〰㌰ㄲ㌹昳㔰敦㔸〱〸愲㌸ㄷ㠰㔱搴愹ㄵ攰愹扤㔰捦〹㠰㔷昲〱昰戲挱挸㜹㥥㌱ㄹ㥡挶搰㡡摤㘸昲㑢㜹〱愸〲㕢ㅢ㐷戲〷㠸〵㠰㙡㍤慢昶㠵ㄲ〱㘰〲㠵㈶㠲愸㌰㡡〴㠰㐹挸㤹㠷㝡搶ち㐰㈳㡡㜳〱愸愵㑥慤〰㑦㑤㐱㍤㈷〰ㅥ捦〷挰㐶㠳㤱昳㘰㘴ㅡ㌴㡤愱ㄵ㈱㌴慡ㅥ换ぢ挰摥㘰㙢晢㤰㑣〶戱〰搰愸㘷搵㜴㈸ㄱ〰挲ㄴ㥡〲愲㘶愲㐸〰㤸㡡㥣㜹愸㝢慤〰昰㐹㑡㉥〰㌳愸㔳㉢挰㔳戳㔰捦〹㠰摢昲〱㜰慢挱挸㜹〲戳ㅦ㌴㡤愱ㄵぢ㘸昲捤㜹〱搸ㅦ㙣㙤ㄱ㐹㌳㠸〵㠰㈵㝡㔶捤㠵ㄲ〱㘰㈹㠵㤶㠱愸昹㈸ㄲ〰づ㐰捥㍣搴搵㔶〰收愱㌸ㄷ㠰㐳愸㔳㉢挰㔳ぢ㔰捦〹㠰㑢昲〱㜰戱挱挸㜹㤶戳〸㥡挶搰㡡㈸㑤㕥㥢ㄷ㠰攵㘰㙢㥤㈴㌱㄰ぢ〰㉢昴慣㙡㠶ㄲ〱㈰㑥愱㉥㄰戵〴㐵〲㐰㌷㜲收愱捥戶〲戰ㄸ挵戹〰㈴愹㔳㉢挰㔳㑢㔱捦〹㠰㥦收〳攰ㄴ㠳㤱昳慣攸㐰㘸ㅡ㐳㉢㡥愲挹㈷攷〵攰ㄸ戰戵㘳㐹㡥〳戱〰㜰㠲㥥㔵〷㐱㠹〰㜰㈲㠵㑥〲㔱㠷愰㐸〰㌸ㄹ㌹昳㔰㐷㔹〱㌸ㄸ挵戹〰㥣㑡㥤㕡〱㥥㍡ㄴ昵㥣〰㌸㈲ㅦ〰㍤〶㈳攷攱㔳ぢ㌴ㄵ戸㔵捦㝡摥㌳〲戲攵搶㕢昵昲㡥ㄹ戱㌸㜶っ攵㙥慣愲〳晦改攱㈱㤲ㅦ捣㍢搰㘴愴㑤て扣ㄸ搱搱㠴㥢㔰挴愳愴搷挸㥤㤶㠸攴摣〴敢昷㠸晦㜷慢晦㠳扢搵㤷ㅢ晤慣摢晤〲户搲ㄸ㌴戶㥢晤挲挲㤶㐱戴ぢ㠶㤸攳㠵戹㡣㤷ㅡ㘸捥ㅥ㘴㤴户摦㐵㐸搰㑤㐶摥㍡〸㈹㕤㥢㝦ぢ㠰㠳㍤㜷㤰戲㔲摥摢㙤摥㔱晦摦㘶㠵㍤㙡㔰摦慣㌸㥢㌳攱㌹㈴攷㤲㥣㐷㜲㍥㠸㍡摣㤸㘶㡦〷㜸晣ㅤ㔶㔲㔴搴㕢㡣㠴㜶㈱㘵㝥㐹㜲ㄱ㠸㘵㥡㕤㠷慣敢㘲㤰ち昳㈱㌸ㅥ昴㜰换搰㕤愴づ㐳㑤㤹㝡㉦㘱挵㑢㐱捡㉦〳㤹㍦㉢ㅡ挷挶搷㜷ㄵ愹㔷摡㡡㘶ち摦慡㘳晣っ㠳搰挸慥收㌵摤㙤㜸㕡摢㡤㜸㐹敥㈰㑣㘹㐳愸㕢㑡㐵㕣㕤㜳ㄳ㑤扤㘹㔷搷慣ㄸ晥㉢敦㕡ㄴ敤㐱昰㐵ㄳ㌶㌶戱㍤㌱ㄷㅢ敤戲昹㌰扢㝤昵晦捦捤㠹㈲㜴〶晡〸〰㥡晢ㄳ捡㝥昶敡摢〴〶扣㌵搳ㄲ〸㥢㡣㑡挴㈸㘱㜷戹戰搱昴〳摣㝤㈸搲搶挳扡换㍥戸㙥敦慡㑢㙥晡捡昸晦㌸摣昶挹愱㐵攰㜴敥㑡㝣〵慡戸ぢ昱㔴ㅢ敡㘵㔶㘲搷㌵㤰ㅦ㠰㘱愰摦㤴㉥捤户ㅡ㉦㌱ㄸ㌹戱〷ㅤ搰㌶㠶㤶摣〰㐵慡搹㌸㑦㔰㤰㝤㘸㌷㠲慤摤㐴㜲㌳㠸攵㍣戹㔵捦慡攵愸㈰攷挴㙤ㄴ晡つ㠸㡡愱㐸㉥㐷㙥㐷捥㍣搴ㅣ戴㤱戹㉢敦㐴㜱㉥〸扦愵㑥慤〰㑦ㅤ㡥㝡ㄹ㄰㉣㜷攵攱㝣〰㌴ㅡ㡣㥣㔰㠵㌸㌴昱㤲㐴㝢㠸㜶㍦㑣昲〸挹愳㈴㡦㠱愸㤰〱捡ㄶ㐸昱户㙦昲搸㐸㤹挷㐹㌶㠱㔸㐰㜹㠲㘵㥣㍣㌰㔹㜴愱㡡〰昳㐷ㄶ㍥〵愲ㄲ㈸攲挹つ搷㤱捤㍢㐲扡㐵〲㠴〳㠶攲㍣戴㘷愹㔶㉢挰㔳㍤㄰敢〳㠷㈳㐴ㅦㅤ攳昲㠱㔳㘵㌰㜲㈲㌱㤲搰㈴攰扣㐴㈵㥢㐵ㄳ挹㉢㈴㕢㐰搴慥〶㌸て㐰㤲扦㝤攰扣㐶㤹搷㐹摥〰戱㠰昳㈶换っ㜰㔲愸㈲攰扣捤挲㜷㐰㔴㉦㡡㜴㜰晥㠱㙣㕥㜰搲㄰换ㅤ㌹敦愱㡡㕢㉢挰㔳㉢㔱捦〹㥣昲㝣攰っ㌲ㄸ㌹㠱㈶慢愱㐹挰昹㉦㙤晦㤸攴ㄳ㤲晦㤱㝣ち愲㑡つ㜰づ㠳㈴㝦晢挰昹㥣㌲㕦㤰㝣〹㘲〱愷愸ㄸ㘵〶㌸㙢㔰㐵挰㈹㘶攱〰㄰㜵ㄴ㡡㕡昱㡢㘰㜷㘴昳㠲㜳㈴㈵㜲㜶㈹〷愲㡡㕢㉢挰㔳㐷愳㥥ㄳ㌸ㅦ㝥㤱㘷慦攷〳㠳㤱ㄳ㐷㜳ㅣ㌴㡤愱ㄵ㡣搱㔷晦㠲㤸昳㕥捦㌰戰戵攱㈴㈳㘸㕤摦㙥摦㐸㍤慢㡥㠷㤲戱㔴戴㍤㠵㜶〰㔱㈷㈲㉢昳捡㡥挸㤹㠷㝡ㄳ㙤㘴收㤵ㄳ㔰㥣ぢ挰㉥㤰㜷㙢〵㜸敡㈴搴敢〳㘰㌳戵挸㙥摦㑢昹〰昸㥢挱挸㠹挴㌹〵㜵〵㠰㜱㌴昹挵扣〰㡣〷㕢慢㈶㤹㐰敢晡〰㤸愴㘷搵㑦愱㘸㉣つ昹ㄱ㠵㙡㐰搴㘹挸ち〰㝢㈲㘷ㅥ敡㑦㔶〰㑥㐵㜱㉥〰㝥挸扢戵〲㍣㜵㍡敡㌹〱昰㔸㍥〰ㅥ㌵ㄸ㌹㈱㍣㘷㐰㤳㥣ㅥ晢搰敥挹㈴晢㤲㌴㤲㠴㐱搴晤〶㈸㘱㐸昲户敦昴㤸㑡㤹㈶㤲㘹㈰ㄶ㔰㘶戰捣㌸㍤㝥㡥㉡㘳昱慢捤㘲攱㙣㄰㜵ㄶ戲慤昸㉤搲收㈰㥢昷昴㌸㤳ㄲ㌹愷挷㍣㔴㜱㙢〵㜸敡ㄷ愸搷〷㑥摦挴㝡㐳㍥㜰慥㌷ㄸ㌹ㄱ㑡攷㐲㤳㡣㡥愵㌴晢㕡〳〸ㄴ㘶ㅦ摡〱㘰㙢〷㤲ㅣ㐴敢晡㐶挷㈱㝡㔶㥤㠷ち㘳昱慢ㅤ㑡愱ㅦ㠳愸ぢ㤰㤵搱搱㠲㥣㜹愸昵㘸㈳㜳㝡㥣㡦攲㕣〰摡㈰敦搶ち昰搴㠵愸搷〷㐰摦改㜱㐱㍥〰捥㌷ㄸ㌹昱㑦㙢愱㐹〰㠸搳攴㜳昳〲搰つ戶㤶㈰改愱㜵㝤〰㈴昵慣㕡〷㐵㘳改㑥㡡㐲㘹㄰㜵〹戲〲㠰㕣攲㈳挳㐳㥤㙥〵攰㘲㤴攴〲戰㠶㍡戵〲㍣㜵㈹敡㌹〱㜰㝣㍥〰㡥㌳ㄸ㌹戱㔵㤷㐳㤳〰㜰㈲㑤㍥㈶㉦〰㈷搳慤㥦㤰㥣㐲敢晡〰㌸㔵捦慡つ㔰㌴㤶敥㥣㠶〲敤㜴㄰㜵㈵戲〲挰捦㤰㌳て㤵戶〲㜰〵㡡㜳〱㌸ぢ昲㙥慤〰㑦㕤㠵㝡㑥〰ㅣ㥥て㠰㤸挱挸〹攵扡〶㥡〴㠰㕦搲攴攵㜹〱㔸ぢ戶戶㡥攴㘲㕡搷〷挰愵㝡㔶㕤ぢ㐵㘳改捥㘵ㄴ㕡て愲ㄸ㝢㈵〰㕣㡥㥣㜹愸ㅦ㕢〱戸づ挵戹〰㕣〵㜹户㔶㠰愷㙥㐰㍤㈷〰ㄶ攷〳愰搹㘰攴〴㝦摤〴㑤〲挰㡤㌴㜹晦扣〰摣っ戶㜶ぢ挹慤戴慥て㠰摦攸㔹㜵㌳ㄴ㡤愵㍢户㔳攸づ㄰㜵㉢戲〲挰㥤挸㤹㠷㥡㘵〵㠰愱㘳戹〰晣づ昲㙥慤〰㑦摤㠶㝡㑥〰散㥢て㠰挹〶㈳㈷搴散づ㘸ㄲ〰ㅥ愱挹㝢攷〵攰㌱戰戵摦㤳㙣愴㜵㝤〰㙣搲戳㡡㠱㘵㘳改捥ㅦ㈸昴〴㠸晡㉤戲〲挰㤳挸㤹㠷昲㔹〱戸ぢ挵戹〰㍣つ㜹户㔶㠰愷敥㐶㍤㈷〰挶攷〳㘰て㠳㤱ㄳ慣㜶㉦㌴〹〰㝦愵挹㔵㜹〱㜸〹㙣㙤㌳挹换戴慥て㠰㉤㝡㔶摤〷㐵㘳改捥慢ㄴ㝡つ㐴㍤㠰慣〰昰㍡㜲收愱㜶戶〲㜰㍦㡡㜳〱㜸ぢ昲㙥慤〰㑦㍤㠸㝡㑥〰っ换〷挰㔰㠳㤱ㄳ摤昶〸㌴〹〰㕢㘹㜲㐵㕥〰㍥〴㕢晢㌷挹㐷戴慥て㠰晦敡㔹昵㈸ㄴ㡤愵㍢ㅦ㔳攸ㄳ㄰昵㝢㘴〵㠰晦㈱㘷ㅥ捡㘵〵攰㌱ㄴ攷〲昰〵攴摤㕡〱㥥摡㠸㝡㑥〰㝣晥㜹㥥换攴捦っ㠶㍤ㅣ慥㤴攱㌵㕦㈳㡣㘹㄰つ敥㔸ㅡ㡢慥㘲摣挵㤰づ扣㥥搸搴㥢㑡㈷㈴㐸㘴㜰挷戴挴晣㐴㝡㕡㉣㠵㄰扤㌵挳㍢㡣挴戲捥㘸㌷㐲戸㤲㜸㜴㙦㉢㑢昴昴㐴摢戵㡥收㐴㙦戲㉤㍡㝢摡て㈱挴ぢ晥愱敢㈴扡慢㔸攱昸㘶㔱㑢㐵愸㠹㔱㠲愳愸昴㐹㈸戴〷㥦㔸昶㙢晢ㅥつ㜸㈰㔸搱㠷攸攲㔸㍡ㅥㅤ搴㈱㝣㐹㤷㜵〰㐵挴挵戵て散㔸摣㠹愰㡣㘹㠳㍢㘶㈶㘳敤㜸㈱㈷捡捥挰攳〶扥昳㌹㌷扡ㅣ㌱㜰㘶〸攸攰㡥挵㠸挸㑤昵㌰㥣愷㙤捤戰慣㥣㙣扤㤵㜶㑣挵敢ㄵ㘸㐶㝡㤱改㡡㡥收捥挴慡愶㐴扣户慢㝢㘶愴㈷昵㠳攸ㄵ挵㙥㤱㐳扡㐶ㄵ慢攲㘲㔵㔶㕣昶㑤晢挷㉤扡㝣愰㈵㈴搲㔷㐵愵㝦㐴慡挰搶㍡㌷搸㡤〸㐴㐶搷搱愶慣㤷㤱ㅣ〳扤㌲敦㤵敦〲㜱捤㌵〰㜵〶㠲捣㤹戹㘴㜶㕦摣改户㝡㐹扢昴㈹㘸戶㙦㔸摡㐷㔸㈶捣㙦㍢〸て搱㠷ち换㌸㜲㜰〶愲挷㤹戳て㍦㜷㠷挸㜰㈴づ改㑢捥㐰愴㔸㜹挷摣㐸㙢㌴㡥慤㘹扣㥣㌸㐴捦昰㌱㐳㔷㈴㥥㌲㜸㑤㠹㉥挴晤ㅢ㈳㔸㕥摦㉤敢㤸搲㥢㑥攰㜵〸慤〳㐴挶㥦㔱ㄴ㔹㡤愲挸㙡㈹㉡敦㔸挴挰㔷㐹㔳㔷㘲㜹㈴ㄹ㑢㜷㜶挵摡捡㤸㘱㜰敡て㘲㑣㘲㥥㈸〱㤸收㘱捥ㄹ昶つ㜳㝤敢ㄸ摤㕤㠳敤㝢㐲挷敥挷挸㉤㔶㉥晣㔳摦㌰㉥ㄲ㌳㡣㉣ㅣㅡ扦㍣㔰捡〵㠶㔳㡥ㅣ㕢扦㌲ㄳ挷㈱㈱㤳㤰㝡㥡〲昸搵摣㄰㌷㡦㤲㘷㤰㉡ㄸ㌴㌷㄰〲㙥扥㠰㍣〳て㌵ㄳ挹㠱挶㐷〵捡搰戵㥣㔲㤲ㅥ㠶㌱㌶㈱㌲ㄶㄱ户㉢㘳敤搱㘴ㄹぢ㥡昱㄰愰㠴〱㤰㉥扤て戱㐱㍣愰愸戴㜴㔰㤹㔳㕢戳㑤㕤扢ㅢ挱㘱㤸㜹㌲ㅦ㘵㤸㥤愳晦摤晤㠳㡤戴摦㉤㡥㘸㠳攰㡥㔶づ愲㥥㐵㈱晤戱〹っ愶挰㄰㤰搲攷挰戴昷㑤㜶㐴㈱攲づ㌵〸㤵挸敢昸㡣㜵㉣㐳㕣愰〴㐹㤶㡡㈳㠳㉣挱㡤㉥㍤慥戱捣㝣挷摦㠵搷㔱㤳搱㜶户㍥㡦昲ㄱ〸扢愳戸戸〴㕤敤戲㍦㙤捥㘹ㄶ捡扡昰慥敦㘸戴慥㐸㕣ㄵ戰㜸㈴㑦ㄶ攸㙦戱扤搲㙥摦㌷㜰扢戵愱㄰㉦㜲慢ㄷ㐰㑤っ㕣㉣㜱戳〳戵㘱挴㘰㌸㠸㝡ㄵ㔹慥昸㤶昵㐹扤㡥㉣搷㈸㙣ㄵ昳攰㜴㘸㤹ㄳ搵ㅢ挸㜳㕥搴㐶㔰挱摦㤱攲㜴㤳ㄹ㝥㈳㔱摡晦昰㝢㡢㌵昰㥢㌵晣搴摢㈸㌱捤㐵搲散搳ㅤ愰㔲摢㤱慤扤攳㉣㌰㡡〲㍢㔱攰ㅦ㄰㘰扦扡㜶㐶㙥てㄳ慦捣ㅢ〳㜹㕥㥤㜷〰㜰㌴敡〳挰昷㉤つ㕡〰摣㤵つ㔶戲㐱㐶捥搹〱晣ㅦ捡ち〰昸㈹搸〲攰ㄸ㉡昸っ戹㉣〰㜷㐳㘹晦〰㝥㠱㙡戹〰㝥㠹㔲〷〰慢㘸敥㌸戶昶㤵戳挰ㅥㄴㄸ㑦〱㉡ㄵ〰慢㤱昳㥢〰㝥㥤㌷晣ㅤ挰㥣〸㕤〰㤳㤱㝤愶㜵ㄶ㌰㈷戱昱ㅦ戱㜱㐶攱搹挱㘴攸㕤〱㌰ㄹ㤴㈷㘰搶㔰〱愳昳戲挰慣㐵㘹晦㘰づ㐷㌵晣搸㐶㈳㐳昹㑣㜳挱㌴㐷愳㡦收晡搹ㅡ挳晣ㅣ〴敡㈸㄰愰〰㈳晦〴捣㝡攴挶㤹㘰摡㕥㠵换扣慥㘲扣〶攷㠰㕦㄰搵㠱ㅦ〳〳捤昶㉣昸㠵搸摥㕥㙣㙦㌷〸搸昱㘳攴㕥〱晣挶㠱㉤昸敤㑤〵っ敥换挲㙦㌲㑡晢挷㡦㐱㠰昸戱攱㌷〱㐵愶戹ㄶ晣ㅡ㘹㙥㤸慤㌱㑡搰㐱㘰ち〵愶㔲㠰㠱㠳㠲㕦ㄳ㜲㍢㤹昸㌹㝤〳挱〱戴改愸〳搰ㄸ㑣㘸㌶㘲〱㙤〶ㅢ㤹挹㐶ㄸ昸㘷〷㡤搱㝥〵㐰摢〷㙣〱㙤ㄶㄵ㑣㐶㉥ぢ戴㌹㈸敤ㅦ戴㐶㔴挳㡦つ戴㌰㡡㑣㜳㉤愰捤愵戹昳搸摡ㄴ㘷㠱昹ㄴ㔸㐰〱〶ㅢち㘸ぢ㤱ㅢ㙦㠲㤶㤹〲捤㤷愶散㕦㙢㜰㐰㜰ㄱㄴ〰挱ㄹ㤶ㄶ㉤〸㌶戳挵挵㙣㤱㤱㠳㜶〴ㄹ㉥㔸〰㐱〶ㄲち㠲㑢愸愰ㄹ戹㉣〴㤷愱戴㝦〴ㄹ㜹㠸ㅦㅢ㠲っ㍦㜴㐰昰㐰㥡㝢㄰㕢㘳㘸愲㠳挰挱ㄴ㌸㠴〲㡣㔶ㄴ〴て㐵㉥戳㠸㔸摥㠳㜶晣㙥㠴〳㠰㉤愸て〰て戱㌴㘸〱昰㌰㌶ㄸ㘱㠳㡣㍣戴〳挸㜰挳〲〰㜶㠲㉤〰戶㔲〱㈳ㄲ戳〰㙣㐷㘹晦〰㌲㜲ㄱ㍦㌶〰ㄹ扥攸㠰㑦〷捤㕤捥搶ㄸ摡攸㈰搰㐹㠱ㄸ〵ㄸ敤㈸〰ㅥ㡥㕣㘶摥㌳㙦㐱昵㜷戱㜳㍥㙢攱㠰㕦ㅣ搵㠱ㅦ㠳㈱捤昶㉣昸㜵戱扤㙥戶挷挰㐵㍢㝥挷愰慣〰㝥㡣㘳ㄴ晣ㄲ㔴挰敢攲㉣晣㡥㐰㘹晦昸㥤㠰㙡昸戱攱挷攸㐷搳㕣㌰捤㜵㈳㐵㜳昹㌱㌱㜵㤲戳㐰㉦〵㔶㔲㠰挱㤲㠲摦㉡攴㙡捣㔳㜸ㅢ㍦户攱㠰攳ㅡ愸〱㡥愷㕡摡戵攰㜸㈴摢㍤ち愴㤴搱㑡〵敥ㅢㄱ搴㘱㠹㘹ㅢ〲㥤慥づ扣㈱㥣挶㉤ㅤ㙤挴ㄷㅢ㜰㜱㕡摥〱㠲愴〴㥦㡤㤲ㅤ〸㑢愵㠹㤹慤愲㕤㜳㔹㔹㝢㐷愳㜳昹搶捤愴摤ㅤ搸晡㌶㤳㘵㜷愹㍦㈱搹㙥㜲戰昱㠷戴晦愴昴㘰㈴㘳ぢ㑡㔵攵て摤戳攰捥慤㠵㙦戱㕢㈵㌷㤲㐵摡㌱ㅣ㌶扣㈲挴つ挵戱㐸㜳昳㡡戱㙣㠵㠷㠸㈵㤲㜱㄰㠷ㅤ㌷戰昴戲挱㐶愸㉣㘶㔲摣ㅡ扡㡤ㅣ㙥晣㠷ㄸ挹〵扤改㉣㑥㘴昵㜰㠳㠳㔷㠲ㄶ㜴㘳晢㄰ㅦ扢㙡晦㠱摣敢挳㌷㝤敢㐹㙥摢扦攱戶㈰㤴昰戰摣愱㘳愳昷㌸〳敢㜳㠱昵搷〹〴慤㠰愶挱㠴㍢ㄳㅦ㕡挶ㅣ㍦愰㈶扤搰㥣㙥㥦ㄶ㕤㈹㝢戴ぢ愳搸㘰挵ㄷ攵攲搱攱㔲㈱㤳㤵晢㕡慤㘳㑡㙢ち晢㝤㘹㙥昲ㄸ㈹㌹搱戵㡥㐵搱㌸㍥捤戴㌲㡡㍤ㄹ㈳戵戰㉤㡤戰攷㡣〲扥㥢晢挳改㈱㈰㔲㘲昴㤲㤲㝥㜲ㄵㄸ扣搹㑥昰ㅣ晡㠶扤㡡㝥敢㤰攳晤㐶戵昶㈲ㅥ搷㌶ㄶ㤹〹㘳ㄷ㤸愱愰〵戶ㄶ㌱搷㕡愳㜶㜹㈶つ㌷㠳挹昵ㄹ㑥㈶慦㜲戳㡣晢㡦㠳戹ㅦ㉣㥦戶攲搷㤱㉡㜸敡挴戱㐱㠳㡦㉤攰搳㜷㙢㠶㜴捣敥㙥㡢昷戶㐷㘵㥦捥㥣戳㘵扢敥〷搱㕦扣㍢㌴捥愸〲戸ㄸ愰捣挶搷㌸捤ㄷ㥡扦昹愶扣㜶㍣捥㌴㤹散愰挳慤㥤㘸㥣㜷っ搰晤摡㈱搲摣㉣ㄹ搶ㄷ攰㉦摦㘸挴搴㤶㔳挴㌹㡤㜱慥㑤㘶㤴戵㥣㜱ㄶ戱戹〹㝣晥っ㥢晡㤶愲㔹㌱扤攸〷搱㑦昰㔳敦㈶㤷ぢ扢㤵摦昰っ愱ㄲ捣㝡昲㕦搱搶攳㡣晦戱㤱愷敦㑥㌲〶㕡㉥摥㈴敥㔴㉥戲㝣㤰㈹㈶㌱㐴ㄸ㈱㉤ㄷ㜰㈷愳搷ㄴ㐳愵昵ぢ㌸扤㍦戵㔳㔰摡晦〵ㅣ㐳慡昱㠳慦〵㔱〹ㄲ昲㝢〹愸挳〵摣愹㤰搱㑥愳㈰攳慢ㅤ〴㑥愷挰捦㐰㑡搷㐳挰㍥搱攴㡤ㄸ㐶㠵愲搲㉥敥㄰㤶㜵㜱愷ㄴ愷愹ぢ㉦㕦㈳㈲ㅡ㥢㜵慥㐱㘵㤷㐱㤹㜶〶愴㥥㝣攲㠹挹㤰㉤㔲㔷㔸摡㉦㐵㠱戱慤昷㜳戶㝦㈶㠸㘲攸慣晤㠲㤸昱戲〵㉥㠸ㄹ㐹㉢㜸㥥㐵〵っ愹捤扡㈰㍥ㅢ愵晤攳挹搰㕢晣搸㉥㠸㙦㐳㤱〳㕣攷搲摣昳搸ㅡ㘳㜳ㅤ〴捥愷挰〵ㄴ㘰戸慥㕣㄰㕦㠸㥣捦扣㈰晥ㅡ㥦〸㜳戸㈸扥〸慡㜰㔱捣挸㕥戳㙤换㐵昱㕡戶扤㡥㙤㌳ち㔷挲昸愹愳㐸扢㠴搵㡣㡢愲㑢㤱挶㐵㤱㝡ㄸ㈲扣㌰㌲㡦散攵晣㌲㐳敡ㄱ㐸㜰㐹㈷㐲晤㉤て㡡挱扥㕣㈲㄰㍥㠲敡㝤㜳搴〶㐳搹㘳攰㜱㥥搲㡦晣㘷搲㐶挸攸㘷㔲户㠸㈲敢㐳挲㝡㈶㌱㕣㔸㝡晥㑡攸㔶㡣ㅢ捥㍡㤳㝥㠵搲晥㝢㥥昱挵昸㈹搲慥愶ㄲ㈴攴㤷〱挶㈶戸㙣摥搸愴扦〶㌲摡戵ㄴ㘴昰戱㠳挰㜵ㄴ戸㥥〲っ㐷㕥㡦㕦敤〶攴㌲㈷挰戳㤶㙡㤶ㄳ攰搷慣㜶㈳慢扤〴〱㑢愷摤㡣㌲㔸㈴㔷戲户㈰捤㑥摢っ㤱晣㥤㜶慢㈱昵㌲愴戶戹搳㕥㠱戰摥㘹户愱㝡㕦愷摤㙥㈸摢〲晥戶㜴ㅡ〳㤵昵㑥㑢ㄳ㌵搸㥤搳㘹慦愳㑣㍡敤㑥攸㔶㙦㈰㤷搵㘹扦㐵㘹晦㥤昶㈶慡攱〷㥦㌰愲ㄲ扤愱㈲昵㌶㔲づ㝤昲㍢挸㘸昷㔰㤰㐱搱づ〲昷㔲攰㍥ち㌰㑣㝡㍤㝥戵晢㤱换㜴ㅡ㈳愱捤㙡㤶㑥㝢㠰搵ㅥ㘴㌵㐶㉤㕢㍡敤㘱㤴挱㉡改戴㐷㤰㘶愷㌱愶㌹㝦愷㍤㙡㐸㌱攸㜹㥢㍢㡤挱搱㝡愷㍤㠶敡㝤㥤戶搱㔰挶戸改㙤改戴捦㈱愷㜷ㅡ攳㤹㘹㜹㑥愷㝤㠱㌲改戴㑤搰慤ㄸ㘷㥤搵㘹㑦愰戴晦㑥㉢㘲㈸〹昴㙢㑦㔲㠹摥㔰ㄱ㥥㝥昷㠱换搶㡤㌳敤㡦㤰搱㥥愲攰〰㘷㠱㍦㔱攰㘹ち㤴㐰㘰㍤昴㘹捦㈰㤷改㌴㐶㘸㍢㜴摡戳慣昶ㅣ慢㌱㥡摡扥搴㌰㠴扡挰㔲挳攰㙡㠱攱捦㔴挰㈸敢慣愵收㉦㈸敤ㅦ〶㐶㘳ぢっ㙥㠸㥢㠷㘲㐸戶㘹㉥ぢつㄸ㕥㠴㡣昶㔷戶挶㜰㙤〷㠱扦㔱攰㈵ち㌰㠲㕢㤶㥡捤挸㡤㌵㤷ㅡ换收㥦昹晤㉣昳㈳㠸づ㑢换㉢愸㡡愵㘵ㄷ㑢㕢㤶愵㘵ぢ摢㝡㤵㙤㌱㄰摢㡥ㅤ愳慦ぢ㘰挷戸㙣挱敥㌵㉡㘰㠰㜶ㄶ㜶㙦愰戴㝦散ㄸ挸㥤㡢ㅤ愳戹ㅤ愰㜹㤳收扥挵搶ㄸ改敤㈰昰㌶〵摥愱〰㠳扦〵扢㝦㈰㔷㙤㘲搷晦昷ㄷㅤ㈰㝣ㄷㅡ〰㈱挳挳捤㈶㉤㄰扥挷㈶摦㘷㤳っ攵戶捣ㄹ㕢㔹捤㤸㌳㍥㐰㥡㜳挶㘴㠸攴㥦㌳㍥㌴愴ㄸ〹扥捤㜳〶㈳挶昵㌹攳摦愸摥㌷㘷晣挷㔰ㄶ〶㝦㕢收っ㐶㤵敢㜳挶㤹戰㥢㤶攷捣ㄹ㑤㄰㤱づ晦ㄸ扡搵㌴攴戲收㡣晦愱戴晦づ㘷㤰扡㜴昸愷㔴愲㌷㔴愴ㄸ愵㙥㠲换搶㡤㤳攵㌳挸㘸㥦㔳㤰ㄱ散づ〲㕦㔰攰㑢ち㌰愶㝤㍤昴㘹㕦㈱㤷㤹㌳ㄸ戶㙥㔶戳㑣昴摣挸搲ㄸ㈱愱ㄸ㘲㙥ㅦ昷㡣㉢㉦㌰敥ㄹ㜱㉥㌰攰〱㝡㤱㘲攸㜹搶戸挷㈷戸戶〱〶㠶愸ぢっ㔹㜳挶愱㈸㌵捤戵挰攰愲戹〳搹ㅡ㘳搸ㅤ〴捡㈸挰㍦昱愰ㄸ搶㉥攳摥㡤㕣㘶摣㕢㍥㈹㤸攷戳㥣づ攳扥ㅣㅡ㌰敥ㄹ昸㙥㌶㘹ㄹ昷㠳搹攴㄰㌶挹㈰㜵㍢㠴㡣㑣㉦〰㈱㘳搶〵挲ち㉡㘰昰㝡ㄶ㠴㐳㔱摡晦㐸㘲㤰㝢㉥㠴㡣㜴㌷捤戵㐰㌸㥣收㡥㘰㙢㡣㠲㜷㄰搸㡥〲㈳㈹挰挰㜸㠱㜰㝢攴㈶㤸㔳㠷敤㔱愹搳㔷㐳ㅤ㌰摣ㄱ㉡㠰㈱㘳攷捤㌶㉤ㄸ㡥㘲㥢㍢戱㑤挶戹摢㌱㍣ㄹ㘵〵㌰晣〹搸㠲攱捥㔴挰昸昷㉣っ㐷愳戴㝦っㄹ㈷㥦㡢㈱㠳攵㑤㜳㉤ㄸ㔶搲摣㌱㙣㡤㠱昴づ〲㘳㈹戰ㅢ〵ㄸ㕢㉦ㄸ敥㡥摣づ㈶㠶㌹㕦㌵㜵㐰㙣ㅣ㉡〰㌱〶摢㥢㉤㔸㄰摢㠳㉤㡣㘷ぢっ㡣户㈳挶㘸昸〲㠸㌱㑥㕥㄰慢愶〲〶捣㘷㈱㌶ㄱ愵晤㈳挶挰晡㕣挴ㄸ㕤㙦㥡㙢㐱散㐷㌴户㠶慤㌱昲摥㐱㘰㑦ち搴㔲攰㜲〸〸㘲㕥攴ち摦㔷㍡㝦㔲搵〱㑢㍦㔴〱换慢㉣㙤㕢戰慣㘳摢〱戶捤ㄸ㝢㍢㤶っ慣㉦㠰㈵㐳敥〵换㝡㉡㘰散㝤ㄶ㤶㐱㤴昶㡦㈵㘳昴㜳戱㘴愰扥〳㔴㝢搱摣扤搹ㅡ㠳昸ㅤ〴昶愱挰㘴ち㌰慥㕦戰摣ㄷ戹摡捣攸㌳晦㙡㐵㝦㕦㠲㜵㐰㌲っ㐵㐰㤲㉦〰㤸㉤㕢㤰㥣挲㤶愷戲㘵〶敢摢㤱㘴㠴㝥〱㈴ㄹ扢㉦㐸㌶㔱〱㠳昸戳㤰㥣㡥搲晥㤱㘴戰㝦㉥㤲㡣昸㌷捤戵㡣捡㤹㌴㜷ㄶ㕢攳摢〰づ〲戳㈹㌰㠷〲㝣㐱㐰㤰摣て戹挹ㄹ㈴晢扥昲晣㌵扥㔰敢〰敢㍣㘸〵慣㝣慤挰㌴挳〲敢㝣㥡戱㠰㘶昰ㄵ〰㍢慣㡣晢㉦〰敢㘶戰〵搶㠵㔴挰㔷〳戲㘰㕤㠴搲晥㘱攵㉢〴戹戰昲㍤〲搳㕣ぢ慣㡢㘹敥ㄲ戶挶㜷っㅣ〴㤶㔲㘰ㄹ〵昸摡㠱挰㝡〰㜲㝤〳搴晡挷ㄶ捣㙢㝢愷㙦攳㍡㈰㜹㄰ㄴ〱㐹扥㥦㘰戶㙣㐱昲㘰戶㝣〸㕢收扢〴㜶㈴昹〲㐱〱㈴昹㙡㠱㈰㜹㈸ㄵ昰ㅤ㠳㉣㈴㕢㔰摡㍦㤲㝣ㄷ㈱ㄷ㐹扥㤰㘰㥡㙢㐱㌲㐲㜳㕢搹ㅡ㕦㔶㜰㄰㘸愳㐰㍢〵昸晥㠲㈰ㄹ㐵㉥㌳㙤收㠴㤸攴晦㉥慦〳㤶换愱ち㔸㝥㘱㘹摢㠲㘵㈷摢㡥戱㙤ㄷ慦㍢㈱慡ㅤ捥ㅣㄲ挸ㄷ㤵㙡愰昶㔸捥㥣㌸㕢㘹愱㠳ㄱ户捤改㌵㜱㐴㌹㌳挹搸㑥㍤挵扤㔷㍣㤴㐴ㄹ㈲㑥ㄳ㐹㍣㡦㈸戱㝦昳㈴㔳㜷ㄳㅡㅤ㌴挲昶昹㔶愹㐶捥㐰㔸㔳㝡晥㘷戹㥦㈸捤搴愷攱〳㔷㥡摦㜲㘴ㅤㅥ慥㌸㑣ㅣ㌱㉦搶㤶㑣愴ㄲㅤ改捡㘶㐴敡㔷昲㜳戸ㅤㅣ戰愵攷㐲愳㘳㥢㜴慣愴㥢㝦㄰㑡㔴扡㔷㜴㈷㔶㜵㡢㌵愵㈹㝥ㄵ㔸昰ㅡ㌸㤰捤戸搹づ㡦摤〰㥥挷扣づ昶㌰㙣㤶㠷愷摣㑣っ㌶ㄳ㐳㡣㐴改㔰㈴戶㌵㜰㤵ㄶ愹㔶搵愶摡㔵戴㘴攰挰㥣挷搶㌹〱慦㤹慦㜶扡㕣㡣㜷㉤㍤〷扥摡㥦㜵㍢㔷捡㠶㤲㤵ㄹ戳慢㈵㘰㠲搶〳攲昶っ㠳攱㌴挸㜵〴攸戰愶愹㉤昸㥡愴昹㝤㐹㜶扦㉢㠹昲㜲㤴换愳㤸㐵昸㕡慦㉢㠵㤲愱㈸挹晥敢㕢慥㌴㡡㠷愰搸ㄲ昸敦ㄹ㙥㘸㤷搷戲戵戱㙣㝢ㄵ挴戴㌱㐸愹ㄱ㘰ち晡㙢㔰挴〴昲㠸ぢ〴攵㠸㔵愷挰㑢㡥ㄳㄴㄶ㘹散㝣昶戳㍡ㄹ㈵散敢散扥㘲ㄴ㉣て捦㡥㘶㘲㤴㤹搸挹㐸愸搱㐸戰㥢搴㐹愸㑥〸愵敤㘳㘹捥㜱㈰㙥捦慥㘰戲ㄹ㡤㔰㘸昴㕢愳慢ㅡㅤ昳㔴㥡捣㤷㈹㔱㑤㜲ち㤹攳㤱㔲㘳愸㤶㐵愷愲㈸攳〹㠳㔵挵㤳㔵㘸㉣搷㤳㕥㤴收㝡挲㜰㔴ㅥ㥥㜱㘶㘲て㌳㌱摥㐸㈸㠶㡣㡡㈷㘹挳ㄳ改搴㥦搳㥣㌳㐱摣㥥㐹㄰㐰挲搹㤳ㅦ㤹㑣昱愴㤶㘲攷戳敡㥥㐸愹ㅡ㌰挵㤳ぢ㔱㤴昱愴ㄶ愵攲㐹愷愳㈷ㅤ㡥㥥昸㔰㠹㠷挷㙦㈶敡捣㐴挰㐸㈸〶㙦㡡㈷㔱慢㈷ㄷ搳㥣㑢㐰摣㥥㄰〴㤰㜰昶㘴㉦㤳㈹㥥昰㌳㤳摡㤵慣㕡㡦㤴摡ㅢ㑣昱攴㔷㈸捡㜸㌲ㄹ愵攲挹㠱㡥㥥㉣㜳昴愴ㄱ㤵㜸㜸挲㘶㘲㡡㤹㤸㙡㈴ㄴ㈳㉡挵㤳愵㠶㈷㘵愸愰㕤㑦㜳㙥〰㜱㝢㘶㐰〰〹㘷㑦㘶㥡㑣昱㘴㕦㡡摤挶慡㝣愴愵㘶㠱㈹㥥摣㡥愲㡣㈷㜳㔰㉡㥥捣㜱昴㘴㤶愳㈷㜳㔱㠹㠷㘷㥥㤹㤸㙦㈶ㄸㅦ挹㐳㉤㐲㐲㍣㤹㘹㜸㈲㙤摦㑤㜳㝥〷攲昶㌴㐳〰〹㘷㑦ㄶ㥢㑣昱㘴㍡挵ㅥ㘲搵㘹㔴扤〴㑣搱昶〸㡡㌲㥥㉣㐳愹㜸戲户愳㈷㈱㐷㑦づ㐴㈵ㅥ㥥㠳捣挴挱㘶㠲㜱㡡㍣㔴ぢㄲ攲㐹搰昰㠴㡢愶昶㌸捤搹〴攲昶ㅣ〶〱㈴㥣㍤㠹㤸㑣昱㠴㕦㜰搴㥥㘶搵晤愸扡ㄵ㑣昱攴㔹ㄴ㘵㍣㘹㐷愹㜸㌲挹搱㤳〹㡥㥥㜴愰ㄲて捦㜲㌳搱㘹㈶㘲㐶㐲挵㤱㄰㑦慡つ㑦㌸晤㘹㉦搰㥣ㄷ㐱摣㥥㉥〸㈰攱散㐹户挹ㄴ㑦㥡㈹戶㠵㔵ㄷ㈱愵㈴挶㡦㐵慦愱㈸攳挹ㄱ愸㈲㥥散攲攸挹㑥㡥㥥愴㔰㠹㠷㈷㙤㈶㝡捤〴㐳昷㜸愸㌵㐸㠸㈷愳っ㑦㜰㑤㠳㉤㔴㥡昳㌶㠸摢㜳㈴〴㤰㜰昶攴㈸㤳㈹㥥ㅣ㐴戱㝦戱㉡㍦搳㔸㝡っ㤸昶㘵搱昲㘶㤷㈵〴㡣㉦㝡㜸㉣㜱㜹戲挰づ敤㌰㈲昹ㄷ㈰㌸㈴捤愲ㅦ㐲㐸㐱㠹ㅥ愲搳敦戵㠵戸㜰昰愱愳攱㤹ㅤ㠳散㑢〳挳㌷昹ち昸㌷ぢ㔰㜰㤷㔶愰敦戶慤ㄵづ愸扥㙢㌹㕡㠷㑥㐲ㄸ搷㠷散㙢散㍦ㅦ㡢慣㥣㐷收搵ㄶ戸〸㌹㜵㉡㉤㍤ㅥ愵摢ㅥ晤㐲慤挳㜱㥤㘷扣ㅥ挵ㄷ攱㈶挶ㄱ〸戴つ敦ㅤ㝥〴攳搴㠹㑥㌶愸㤳捤搲晦㔲〶㑤㈰㡦㑢ㄵ㔰㌹㕢㌴换搹攲晡〴㈲㜹㉦㔸搵㐰挷㔳攸愷搰㠴㙡昸㈲ㄱ攸攰〱㥥㔳愹ㅦ㠷攷㌴㌳㜱扡㤹㘰㌰〵㡦㡡㌳㤰攰㝣挰搹敤㍢㍤㍣㍦㠷㘶戶㘲扦ㄸ㍡搳㉣㍦㡣捣慦㘰慡晣㈹㌵㈵攱ㄱ㉣㔲搸摡捥愰㜳㌶愴〵㥤㉦㍦㜵扡づ晡ㅣ愵戹搷㐱攷戲㕤ㅣ㥥昳捣挴昹㘶㠲㔱て㍣搴㐵㐸挸㕣昲ㄹ㔴昰㡡㑥搶㕣ㄷ摡搶〶㠲戸㍤㙢㈱㈰㘸㍡㕤搱慤㌳㤹㌲㤷㉣㠷㐲㙤〸慢攲㝥〲ㅦ㈵〱㤳昳㠹㕢㙤㠵㙥㡥㜷㘴㌰㙥㠷㔲㉦挶敤愵挸收㡥摢换ㅣ㑢搷愳㤴㘳㔷ㅢ㡥捡㙡㠳愳捣㤵㘶改㜶㤴㐱㔳挸ㄷ愹㕦戱ㄶ㌹晦戰㈲挷㜱㈵搷挲㙦㍢㈲㜷㌵㉡㠸搳㍢㐲ㄵ㠶搰㌵㔴㠵挳㜳慤㤹戸捥㑣㌰㡡㠰㐷挵つ㐸㝣㍦㐳攸搷搰捣㔶散㐳攸㐶戳扣㡢捣搱㌰㔵攳户摤ㄴ愳ㄱ㜴攰户㘴〱㍦〶ㄲ〴晥ㄶ昰㜳㠱扦搵戱昴㌶㤴ち昰扢ㄱ搴摢ㅤ㘵㈴㐴㠰㈶㔴㔱〶〹㐸攱㝢ㄴ愰〲晣㕦ㅤ㠱㝦挱ㄱ昸扢㔱㐹㠰慦㠶㉡〰晦㍢慡挲攱㘱㘰㠰㈴敥㌵ㄳ昷ㄹ㠹㡡晢㤱昸㝥㠰㝦〰㥡搹㡡ㅤ昸〷捤昲ㄴ㤹㌵㌰㔵㑢㈲愵ㄸ㔱愰〳晦愷㉣攰扤㤰㈰昰㡦㠰㥦ぢ㍣愳ち㜲㑢ㅦ㐳愹〰敦㈷愸ㅢㅤ㘵㌶㤹愵〱捡挰〲攴戱晦〷㉡挰㙦㜲〴㝥愳㈳昰㑦愲㤲〰ㅦ㠲㉡〰晦㐷慡挲攱攱挳㝤㐹昰㐹扥㈴㥥㌶ㄲㄵ捦㈰昱晤〰晦㉣㌴戳ㄵ㍢昰捦㤹攵晣㔰㥣戶㉦㑣搵昸㑤㍡昵㘷㤴ぢ㠴㘱㉢㄰㝣搰㉦㐰摣㙦〵㈲㜳ㅢ㝣慦㈳㄰㉦戲㕤ㅣ㥥扦㥡㠹扦㤹〹㍥扦攷愱㕥㐱㐲㈶捤㝢愰㈲㌳㘹㑥愷㌹㌳㐰摣㥥㉤㄰㄰㌴㥤㈶捤㔷㑤愶㑣㥡挷㐳愱㌶㡦㔵ㄹ愵愸㕥〳㔳㍣㔹㘰昵攴つ㤴㡡㈷㌷㍢㝡㜲愳愳㈷㙦愲ㄲて捦㕢㘶攲㙤㌳昱㡥㤱㔰敦㈲㈱㥥晣摡敡挹㘲㥡戳㐴㍣㜹て〲㜹㍤㜹摦㘴㡡㈷㍦㐵㕢摡㈱慣㝡ち㔲㡡㡦捡昵㤳㘱〳㜴昷㑤晦㉤搴㡢㤳攱〳昰㜳㠷晤㠷㡥愵晦㐶愹㥣っㄱ㔴㔶晦㜱㤴㤱攷搷㌴愱㡤㌲㐸㐰ち㕢㠹愰㠲摣挵㔶攴㌲搳晦㕡㐷攴㍥㐵㈵㜱㝡㌹㔴攱㘴昸㡣慡㜰㜸昸搴㕡ㄲ㕦㤸㠹㉦㡤㐴〵ㄷ户敦攷㘴愰㈹㙣挵㝥㌲昰㔱户㤴晦㥣捣㌸㑣搵昸〵㍡㔵㡣㜲〱戶摢ち㐴〹㑡〵㠸戳慤㐰㘴㑥㠶戳ㅣ㠱攰㌳㙡ㅥ㥥㠱㘶愲捣㑣㘸㐶㐲㤵㈳㈱㐳攸㑣愸攰挹㐰ㄴ戴ㄴ捤㐹㠳戸㍤㝣愸㑣㘱挷㍤㈱㍥㙣ㄶ愶っ愱昳㈸㜶ㄴ慢㥥㡢㤴慡〰㐷㍣㌹挶敡挹㔰㤴㡡㈷㈷㍡㝡㜲扣愳㈷挳搹〸づ捦〸㌳戱㥤㤹攰昳㘱ㅥ㡡捦㜵挵㤳攳慣㥥㥣㐸㜳㑥ㄲ㑦㐶㐱㠰挲㡥㥥昰㤱慦㌰挵ㄳ㝥愴㑤㍢㥤㔵搷㔲戵㍣捥㘵搱ㄹ㔶㑦昸㌸㔷㍣㐹㌹㝡㜲㠴愳㈷㤵㙣〴㠷㠷て㙤㈵㌱搶㑣昰㈹㉤て挵攷慤攲㐹㡦搵㤳戳㘹捥㌹攲挹ㅥ㄰愰戰愳㈷攳㑤愶㜸戲㠱㘲ㄷ戱敡攵㔴㕤つ愶昴挹㍡慢㈷㝣捣㉡㥥戴㍢㝡搲敡攸〹ㅦ愴昲昰昰㘱慡㈴昶㌴ㄳ㝣㝡捡㐳昹㤱㄰㑦㈲㠶㈷㜲㝤扡㕥捣ㄱ㑦敡㈰㐰㘱㐷㑦〲㈶㔳㍣戹㤶㘲搷戰敡㌵㔴㉤て㌹㔹㜴㥤搵㤳㈰慡㠸㈷㑢ㅣ㍤㘹㜶昴㘴㉦㕡㠰挳挳㐷㤹㤲攰㜳㑢㐹昰搹㈵てㄵ㐶㐲㍣㔹㘴㜸㈲㈸摥㐴㜳㙥ㄶ㑦昸挰㤱挲㡥㥥㑣㌵㤹攲挹捤ㄴ扢㤳㔵㙦愲㙡㜹挸挸愲摦㕡㍤攱㐳㐶昱㘴㠶愳㈷搳ㅣ㍤㤹㐹ぢ㜰㜸㘶㤹㠹搹㘶㠲捦づ㜹㈸㍥攰ㄳ㑦㥡っ㑦㘴晦攱㍥㥡㜳扦㜸挲㘷㝣ㄴ㜶昴㘴㠱挹ㄴ㑦昸㈱㌳敤㌱㔶攵户搱㤴㍣搷㘳搱㐶慢㈷㝣慥㈷㥥㌴㌸㝡ㄲ㜰昴㘴㌱㉤挰攱㔹㘲㈶昸愸㑥㑡昸戸㡥㠷㍡〸〹昱愴捥昰㐴㐶搷㤳㌴攷㡦攲〹㥦戱㔱搸搱ㄳ㍥㝢ㄳ愶㜸㜲ㅦ挵晥捣慡昷㔲戵㍣㔷㘳搱㕦慣㥥昰戹㥡㜸㌲摥搱㤳㜱㡥㥥昰挹ㄹて㑦慢㤹攰愳㌲㈹攱攳㌲ㅥ㙡㌹ㄲ攲㐹㤵搵㤳㤷㘸捥㘶昱愴ㄳ〲ㄴ㜶昴㈴㘶㌲挵㤳㐷㈹昶〶慢㍥㠲㤴㠷て挲愴收㥢㈸ㅡ㍣愰㈲㠱っ㔲昶㝢攵慤㜸扢㐲㡥戰晥㕦㤹昱扦㈷㕣挱挷㈴㔹㌵散摦㈹㍤晤㥥㝦㡤㕤㍡㝢㜸昸愳昵搱挵㤳摦㝦戰㔱昱〹㐷ㄵ昴搸晦〶搵㐸㜸昷㔷㝣ㅢ㍡攷㡦㜰㙤㘷㌰散㝦㠴换挳〷㈳昸㈹搲摥搵慤攷挳㡡㉣㕢㜴㙢ぢ㔸捦㈷ㅢ㔹㌵散搶扦㤴ㅥ㜲捤㤴扦㙤㙤㝣㐶㡥てㅢㄵ㥦㙡㌸㔹敦挹㘷㝤㠵挱戰晦〵㉤捦愹搰㠴㥦㈲敤㐳摤㝡㍥愰挸戲愵㕦敢昹㌴㈳慢㠶摤晡㉤慦攰戸㘹㐲㜸晡㌵㉢㘶摥㝢攳扢㡤敡㝣搴㜰戲摥㥤捦㝡捤㘰搸晦晣㤵㠷て㐰昰㠳捦搳改搶昳愱㐴㤶㉤晤㕡捦㈷ㄸ㔹㌵散搶扦戵挳摣攳㙥扤捡ㄵ扥㙦搷搴㠵攷㍣昵㜰愳攲搳ぢ㈷敢㑢昲㔹㍦挰㘰搸晦㜶㤵㠷て㍤昰㠳㔰㐴摤㝡㍥㠸攰慥愷㙤㡦㈸晦挸搱扤ㅢㄱ搶晦摦㈱㕣挱愷ㄸ愲攱㔰㌵收㥣㈹愵㕢㡥戳㝢㌳㜳挱㉤敦㥦摣扡㑢㜸㙡㑦攲挰敢愷㡦〹㕦昹愳捤㈷㕤㜱换挷㡤㑢㔶㜹ㄲ〷つ昹愴㔱昱㠹㠶㤳㜷㕦晥㉦捦㜹昱㠵挱戰晦㘱㉡捦敤搰㠴ㅦ㝣㔶ㅢ晥攰慣扥ㅢ㤹㉣愴㜵慢昳㝢㔷挱㈷ㄹ㔹㌵散摥㝣㜲攸㈳ㄳ捥晥㜸㘸昸ㅦ㍢㉦㍣改㡥㜷戶て慢㠷㔰挳挹晡㑦昲㔹晦戱挱戰晦㔵㈹てㅦ㝥攰〷㉦〲改搶㍦㡥っ晢攵㙢昷㑤〵㥦㘲㘴搵戴㝢戱攷戳搵㐳㡦摥晡㔱攳㠶㔳㕢摦摥晥㤹扢ㅢ敢慦昸攵㕦捡捥㈹て㉢㍥挹㜰昲收挳㝣摥㝣㘰㌰散㝦㈲捡挳〷㈰昸挱愷挳㜵㙦㕥㐰㈶ぢ搹㝥晢㠲㑦㌰戲㙡搸扤戸晤愵㈳昷扤㙥㠳㈷晣搹戲户昶晦搷㜶捦㌷慡㉤愸攱㘴晤扢昹慣晦愷挱戰晦㝤㈷捦㙢搰㠴ㅦ〴㕡敡搶扦㠵㑣ㄶ愲晤㔹慦昳㐷㠴㉢摥戶搷戴㝢昱昰摣㠷摥㌹㙡㙤㐹昸搵㈳㐷摣㌸昳搵昲㜰敢ㅥ㌷晣戳攷摥㔱㘱昵㉦搴㜴昲收捤㝣摥晣摤㘰搸晦㔸㤳攲慥扡㕣㤹敤っㅦ㜸㝢挵㕦㈵摢搹㐸㘴扥㈷㐵ㄱて㌷戰昱㠳扤㌷昱扣昴㔳㘴昶捥晦〲扤攵愹晥㐴扣㘷㥡昵㤷㠳愷攳㉦〱㌳愰戴㘸〰扥㘳愶㝦晤慢愴㜸慦㙦愶㡢捦㌱昸㜶㌱㝦㑢㕦㠵愳摦㐲て晤散㝢昸㐰㡤扢攲㔷慢㠴挳㡡㥢搶㝤愰㕦〳㔱攳搳昱昹㐰晦㥢挱戰晦㑤づ㡦挲搸ㄵ㈰挷〹㤰ㄵ摣㝦晥㜶㔳㉤㌷慦ぢ㑥戵慤扢㙦晣攰㥡挳㐷㠶ㅦ㕥㜱㑢昷㥢搵愳挲慢㌷ㄵ㑦㔵ぢ㌶㌷搶捦㤹敦㝥晣㥦㉦㌷㉡㙥㘴㔷搱搷㤷㐸㌶㤳昰敡㐸㍤㥦捦扢㍦ㅢ㡣㥣㍦戸挱つ㙦ㄹ㔲㤳慣㐳㑡㜶戲愹搵㝣㙣㈳㐳㡡㝢搷㠲㐴㡤㈰愱戸〱捤㘱愵㥥㠶㜶昶愵挰㕦㑢昸戹攱㕢㐵〵㘲㘰ㅦ晣㑦攴㌳昰て〶㈳攷㡦㕥㡣㠱㈶㌱戰摥㙡愰散昸㕡つ攴昰昴㜰㡦㔷っっ敡〶㜲愳㔶っ晣扤搵挰扤㘸㈰㌷㐶慢ㅣっ㝣㈸㥦㠱てㅡ㡣㥣㍦㍣挱つ㔴㌱㌰㙣㌵㔰㜶㐶慤〶ち㠲摣ぢㄵ〳愷敡〶㜲㐳㔳っ扣搷㙡攰㌴ㅡ挸つ挴㉡〷〳敦捡㘷攰㥤〶挳晥挷ㅦ㍣㘱戳搱㌹搲㘸〵昷〲扦摤〰收㐶㘲挱〱扣昱敡扢㥦扤昹㘵㜷昸愳扢㡥ㄹ㜲敢昸敤挳㉢昷㍢㜳攵搴㤵㉦㌵晥攲㌷ぢ摥ㄸ晡挵㤶㐶挵㑤挵慡㡣㜷㝤〳昸搶㝣摥摤㘲㌰散㝦搹挱挳扤㐸㠱㜴愱敥ㅤ昷〷扦㥤㜷摣㕣㉣攸摤摦㥢攷㍦㝤搸摤㠳挳㜷捣㝦攵挱㔹扦愸〸扢慦摣扡㜹攳搱ㅦ㌶愶扣慦晤晡㌷㥢晥搵愸戸搱㔸攵攰摤つ昹扣扢摥㘰攴晣搹〶㙥㐸捡攰㕡ち敦㌲㌳㝥挴㉣捤㍡㍤戹户㈸㐸ㅣ㈰㐸㈸㙥㄰捡攰扡ㅡ摡㌳愷攷㐱㘰㉡㙥挸㔵㘵っ散㍢㍤㌷攴㌳昰㜲㠳㘱晦搳〹ㅥ敥攳㐹愳㠷改昰㜳㙦つ㍦戲挸攲㍦昳㈸㜰愹挶㡤戸慣ㅡ昶㠵昵戹㜴捤㉦㔷扣㌰㍡㍣敥搰㈳㕢㑥㥡㜶㕦愳攲㈶㕣ㄵ㌴摢㘷扦㡢昳㔹扦捥㘰搸晦敥㠱㠷㝢㜷㘲㝤㠷㙥㍤昷搳昰昳㌵慣攷收㕢㔶つ扢昵㥦摤戱攲挲㜳㝣㠳挳㑤㕦ㅣ昹攰ㅣㅦ㉥㙥戸昱㔶攵㘰晤〵昹慣㍦摦㘰搸晦㘸㠱㠷晢㜵㘲㝤㕣户㥥㝢㘸昸昹ㅡ搶㜳挳㉤慢㠶摤晡㑢㝦㜴愷攷攸㠱㈳挳㥦づ㕤㍣散愸㡡㔷ㅢㄵ㌷摢慡ㅣ慣晦㐵㍥敢捦㌲ㄸ昶扦㌸攰攱ㅥ㥤㔸㥦搴慤㕦㡦晣户㍢㜱㉦㌷㌵攴扢㠵戹㘵挸㐱㡤㥦㑤摢㌱晣挸㥤愵㡦㕦晡攳捡昰扡搴㡣㔹扢㠵㌷㌷摥戴散㤸㉤ㅦ㍦昹㝡愳攲〶㕣㤵㠳㜷愷攷昳敥㌴㠳㘱晦㜳〲ㅥ敥摢㠹㜷慢㜵敦戸㤷㠶㥦慦搱㌷摣㜸换慡㘱敦㥢ㄷ慥攸㤹散晥㑢㜵昸㤰戳ㅥ晡捦昸㐳㈶㠶ㄵ㌷摤慡ㅣ慣㍦㌹㥦昵㈷ㄹっ晢摦〲昰㜰慦㑥慣㍦㔶户㥥晢㘷㐸㙤扢昵㤰挵㠱换㘶㙥扡㘵搵戴㝢昱㤷㍢㍦㝥收挹攳㕤攱㐵㜷㡤晥挹㍦昷㉦て摦㜸挳㌱㥦㍦攰ㅦㄲ㔶摣㜸慢㠲ㄲ晢㔹㝥㙣㍥㙦㡥㌱ㄸ昶て晢㝢戸㕦㈷摥㥣慣㝢挳㍤戴㙦㌷搲戸〱㔷㜰㠹㌸晢㤶换ㅥ昸㑢㝡㔸戸昵愹摡㠶愲㙢㐷㠵㡦摥晤改挳㔷㥣晢㑡攳扣〷晦㜰敦㠶愶搷ㅡㄵ㌷攳慡ㅣ扣㕢㥤捦扢㔵〶挳晥搵㝥て昷昰挴扢搳㜵敦戸慦昶敤扣攳愶㕣㐱敦㡡㘷捥晡挰㕤㌳㉣散㤹㝡昷㡣㍦㍥㌷㉡㝣攷㠶攷㍥㍢攳愹㡦ㅡ㔷扣晤搳㈱㥢㉥晡愸㔱㜱㠳慥捡挱扢㘴㍥敦㡥㌰ㄸ㌹㥦攴攷扥㕥㝦㥦攴㘷㤴㜸㌴㈵ㅦ㕤慢㐰愳愵ㅤっ㙣ㅥ搴愱ㄷ昳㠶㐳㍥户ㄵ㤷愰昰㜲㝣㔹㍢戹㈲㥡㥣㡢て挵攳㝢摡捤戱㉥㈳捣ㄹㅦ㤰攷㘷㐸捣㙦㌷㙢㤲㘳㘵㔷挷㠲㈴㍥收㍣戰㘳㜶ちㅦ㤴㙡㉦敢㕡ㄸ㐹攳㙦摥㜶晦㄰愲挷㄰愶捦㔷搷㜱攸ㅦ摣㜶㡣㤰摦〴戶晤㠳㉣㤶戸戹㍥㍣捣㡦ちㄵ昳㠳摣摦㉣㜶㑣㕥〷㉥㔱〹㜴愷ㅥ昳㜳㝣搱㔷㘲ㅦ摥摣搷捥挱〰挵挳㔵收昱㘱〳敤㕣㘴㐵㕥㐸㤱攲㈶㈸扢摢搰戱挲㔱挷〵搹㍡㉥戴改攰㔶愴㐵挷㜲㐷ㅤ㙢戳㜵慣戳改攰㠶愰㐵㐷㥢愳㡥㑢戳㜵㕣㘶搳挱㙤㌹㡢㡥ㄶ㐷ㅤㅢ戲㜵㕣㘱搳挱捤㉦㡢㡥㠳ㅤ㜵晣㉡㕢挷搵㌶ㅤ摣㠲戲攸㔸收愸攳扡㙣ㅤ搷摢㜴㜰攳挷愲愳搹㔱挷㡤搹㍡㙥戲改攰昶㡢㐵挷〲㐷ㅤ户㘶敢戸㉤㕢㠷㠷㥢ㅥ㌲搱摤㑥挶ㅤ㈴㜷㠲戸ㄵ㜷㌸愸摣㜵ㄷㄲ㝤㝦㈰㔶摥〷㐹ㄵ慢㤹㘶㘳晦昴敤搸㌷ㄸ敦㘶㝤㕥昹㉡㌹㠱㌸㈰敦㘱ㄱ㕦捦搱〷㘴㘹㈵昲昶㌳㡡㉦捡昰㡤昲愲搲㔵戱昶㜴愷慢㌳ㅡ㕢摥㤹挶ぢ㌱㠳㜸㥡㕤摢昸㑥昸搸昰改㔳ㄴ昷ち㉣晥㑥㌵㑤㈸戲㥥て昷㐳挸㜲㍥㍣㤰摤扣㠷㜷攴攲敦㐳㘴㍣㑣昲〸㠸㕢昱昶㕢㤴搳摦㘲戵㤷愹㍣换扦摦㔳㍥摢扦挷㔹搴攷㥦攲㥤㍡㝤㌴慤昶搴㈳㈳㉤晥㠱㤲㑦㤰㍣〹攲㔶㐱㔰㑢㡢㕥挷ㄶ晦㐴昹散ㄶ㥦㘱㤱愵㐵摥㝡㘷戵ㄸ㐶㠱戴昸ㅣ㈵晦㑣昲㍣㠸㕢昱〶搹搲攲㜸挷ㄶ㕦愴㝣㜶㡢㝦㘳㤱愵㐵摥㑢㕢㕢㔴扣〹戶昴捣㙥愶攲慣㥥㜹ㄹ㐲㤶㥥㜹挵愶㤴户㥡ㄶㅤ扢㍡敡㜸㉤㕢挷敢搹㍡㍣㑢㤱ㄷ捦晦㑥挶㥢㈴㙦㠱戸搵〱愰ㄶ捦户㌷㤵㘷昵敥㍦㈸㥦敤昹扢㉣戲㜸捥ㅢ扤㉣捦て㌳ㄵ㔳愸㐴つ㌳ㄵ㘷㜹晥㉦〸㔹㍣摦㙡㔳捡晢㈴㡢攷㐳ㅣ㜵晣㍢㕢挷㐷㌶ㅤ扣㕢戱攸㜰㍢敡昸㌸㕢挷㈷㌶ㅤ扣㘷戰攸㜰㌹敡昸㉣㕢挷攷㌶ㅤ慢戳㜵ㄴ㍢敡昸㉡㕢〷慦㡢慣㈰昳晡搸㘲挷㤷㥦㌸慤㝢〳㔰挹㠲㘹㠹㑤〷慦㑡㉤㍡㍥㜵搴㌱㌰㕢㐷㤹㑤挷改搹㍡晥敢愸㘳㔰戶㡥昲㙣ㅤ愵㕣㥥户昹㍡㠱慢昸㌷っ扦ㅥ㠲㜶ㄵㄷ㝦搹搸愸㘰づ捡攴昷〲㤴搲っ捤挳㔲㉥敥㈲㌳搴㉡挳搵㕢㘴㠶戱㤴㡢户挸っ户捡㜰㜵ㄶ㤹ㄱ㉣攵攲㉣㌲摢㔹㘵戸晡㡡捣㐸㤶㜲昱ㄵ㤹敤慤㌲㕣㕤㐵㘶〷㤶㜲㜱ㄵ㤹ㅤ慤㌲㕣㍤㐵㘶ㄴ㑢戹㜸㡡捣㑥㔶ㄹ慥㡥㈲戳㌳㑢戹㌸㡡捣㉥㔶㤹㕢㑤㤹搱㉣攵攲㈷㌲扢㕡㘵戸昲挹㤶捥ㄶ㜴㌰户㜴昶〱㜲㘵挵㉥㜵㠷挹㜸挵㘰㑣ㄶ㠶㔲㕣㈱愵挶换〶愳ㄱっ㙤㌷㉡攵ち㈸㐶敤捥ㅣㄷ㍦㘹戰捡摡㈰㤷㈸㤱ㄹ挷搲〷㑣㤹㍤慣㌲㕣㥥愴㠹ㄷ㙣㐶㜱挹ㄲ挶㕦㙣㐶㜱ㄹㄳ挶昳㔶愳㈶㔲㈹㤷㉤㘹㜰ㄲ㜳㕣戱挴愸ㅦ㔹ㅢ攴敡㈴搵㥦戱㌵挸ㄵ㑢ㄸ㑦摢ㅡ攴㉡㈶㡣㍦㔹ㅢ昴㔲㈹㔷㉤㘹搰挷摣㌳挸㐹㠳㝥㙢㠳㕣㥣愴晡ㄳ戶〶戹㘰〹攳て戶〶戹㠸〹㘳㤳戵挱〶㉡攵愲㈵つ〶㤹攳㝡㈵つ㠶慣つ㜲晤ㄱ㤹扤㔸捡攵㐷㘴昶戶捡㜰㝤ㄱ㤹㝤㔸捡攵㐵㘴㈶㕢㘵戸戶㠸ㄹて搹っ攷㝡㈳㡣〷㙤㠶㜳つㄲ挶〳㔶挳愷㔰㈹搷ㅣ㘹㜰㉡㜳㕣㙥愴挱㈶㙢㠳㕣㍥㐴㘶ㅡ㑢戹㝡㠸捣㜴慢っ㤷〷㤱㤹挱㔲慥づ㈲㌳搳㉡挳改㕦㘴㘶戱㤴戳扦挸捣戶捡㜰㝡ㄷ㤹㌹㉣攵散㉥㌲晢㔹㘵㌸㝤㡢捣㕣㈹㌵㔸摡㍣慢っ愷㘷㤱㤹捦㔲捥捥愲㘷㠱㔵㠶搳慦挸㉣㘴㈹㘷㕦㤱搹摦㉡挳改㔵㘴ㄶ戱㤴戳慢挸㌴㕢㘵㘴敥攳ㄹ㘸敥摣㈲㕤攴攱ㅣ㈸搷〲㑢㤰ㄸ㍣㐰挹散㤷㈳挵㔹㔰愴㤶改㔲㌲晦攵㐸㜱ㅥㄴ愹〳㜵㈹㤹〱㜳愴㌸ㄳ㡡搴挱扡㤴捣㠱㌹㔲㥣ぢ㐵敡㔰㕤㑡㘶挱ㅣ㈹捥㠶㈲搵愲㑢挹㍣㤸㈳挵昹㔰愴㈲扡㤴捣㠴㌹㔲㥣ㄱ㐵慡㑤㤷㤲戹㌰㐷㡡㜳愲㐸㐵㐵慡㠲搳搹㌲㐸ㄵ慦㔶㙤㠷戵ㅦ㜶搸㈷ㄵ㈵㤵愳㑡づ〸㤷㕦戴㘵搳㙢攷㍣㜷挸攴户㍥扦昸攲攷摥㌸攷㠹捦敦㘹㥤晣晢つㅢㅥ㤹㜳搹ㄳ慦つ敢㔸㕦㝣挷㈷㜳搷ㅦ敤㕤㜱昴ㄱㅤ㑢㈶捣㍣晡挰挳昷昷㉥ㅣ㍡㜱挰㠰㠱〳昷ㄸ扥㜱㠷昱㥥攳㡦戸㑢㍤昸攲昶摤㑡㘶挸ㅣ㌳㌸㔳㡡ㄹ换挵っ㈵㜳㘴㡥ㄴ攷㑡㤱㡡㠹㔴〵愷戹敦搵㔸㤹㌹㜳捣攰っ㉡㘶慣搰捤攰攴昷扤㥡㈱昳㘹㡥ㄹ㥣㔷挵㡣㉥摤っ㑥㠹摦慢ㄹ㌲换收㤸挱搹㔶捣㐸㠸ㄹ㑡收搹ㅣ㈹捥户㈲㜵㠴㉥㈵㌳㙤㡥ㄴ㘷㕣㤱㑡㠹㔴〵㈷换敦搵㈵㤹㝦㜳捣㘸㌲捤攸ㄵ㌳㤴捣挰㌹㔲㥣㠹挵搸㔵扡㤴捣挱㌹㔲㥣㡢㐵㙡㡤㉥㈵戳㜰㡥ㄴ㘷㘳㤱㍡㑡㤷㤲㜹㌸㐷㡡昳戱㐸ㅤ愳㑢改㌳戱㝤ち攴㡣㉣㔲挷改㔲㌲ㄷ攷攸攲㥣㉣㔲㈷攸㔲㌲ㅢ攷㐸㜱㔶ㄶ愹㤳㜴㈹㤹㡦㜳愴㌸㉦㡢搴㑦㜴㈹捥扤戲昲ㅤ㘹慣㝣㔳㔱愵っ摦搳攳㜴㉢㡣㌵㌶〶㘷㔸㘱慣戶㌱㌸愹ち㘳㤵㡤挱㜹㔴ㄸ㉢㙤っ㑥㥤挲攸戵㌱㌸㕢ち㈳㙤㘳戴㤹㡣㤴㡤挱㌹㔱㙡㈴㙤っ捥㔲挲㌸挲挶攰挴㈴㡣ㅥㅢ㠳㔳㠵㌰ㄲ㌶〶㑦㕥㘱㜴摢ㄸ㍣㥤㠴搱㘵㘳昰っㄲ㐶摣挶攰㐹㈳㡣ㄵ㌶〶㠷戱㌰づ户㌱㌸㜲㠵ㄱ戳㌱㌸㔸㠵搱㘹㘳㜰㝣ち㘳戹㡤挱㈱㈹㡣づㅢ㠳愳㔰ㄸ㔱ㅢ㠳〳㑦ㄸ敤㌶〶挷㥡㌰摡㙣っづ㉦㘱戴㘶㌳〶晤㍦㡥㘴㘳㠹</t>
  </si>
  <si>
    <t>㜸〱敤㝤㜹㝣㔴搵昹晥㥣㈴㌳攴づ㠱㡣〲搶摤㠸㈲〲㈱㘶㈷㐱㤰㐰搸㈲慢〴慣ㅢ挶㐹㜲㠷㡣捣㘴攲捣〴〹摡㡡㝢摤㙡慢㘸㐵慤㠲㔸ㄵ㌷扡愸㔵敢愷㜵愹㕡㉢㔵摢㙡戵㤶扡㔶慤㕡㤵扡㔵敢昶㝢㥥昷摥㍢㜳攷摥㍢〹㔸昹晣昸攳㝢㌳㜹㜳捥晢扥攷㍤敦㜹捦㝢昶㌳㌷㍥攵昳昹扥挲挳扦㝣㡡ㄸ搸扢戵㉦㤵搶攳ㄵ捤㠹㔸㑣敦㐸㐷ㄳ摤愹㡡愹挹㘴戸㙦㙥㌴㤵㉥〴㐳愰㉤ち㝡捡摦㤶㡡慥搲㡢摢㔶攸挹ㄴ㤸晣㍥㕦㜱戱㔶〰晡㉥收㙦挸㡡㘸㑣愵ㄵㄱ㠰换愷〵〸〶ㄱㄴㄳ㘸〴㐱㠲挱〴㈵〴㐳〸㠶ㄲ㤴ㄲ㠴〸㈸㔷摢㤵㘰ㄸ㐰挹㜰㠰挵捤搳ㄶ戴㥦〸㉤㕢搳㠹愴㕥㕥㜶愴愱换攴慡慡㡡慡㡡摡〹㔵昵ㄵ㤵攵㘵捤扤戱㜴㙦㔲㥦摣慤昷愶㤳攱㔸㜹搹挲摥昶㔸戴㘳㡥摥户㌸戱㕣敦㥥慣户㔷搶戴㠷㙢ㅢ慡㙡敢敡㈲㡤㡤つ㈵㈳㈰㜹㝥昳戴㠵㐹㍤㤲晡愶㘴敥㐶㤹ぢ㥡愷㔵捣搷搳摦㤴捣㙦㐱㈶㐴㑥㑦挴挳搱敥㙦㐸愸㥦㜵㔵㌷㕤敦㠸戲㔲㜵㍤ㄹ敤㕥㔶〱戵㜳っ㡤搸㠴㡡愹愹㔴㙦扣㠷晥搱慣挷㘲㡢昴㠸㔴㘶㝣㝡㉡扤㌰㥣㡣愷㑡攲戴㥦㥥搴扢㍢昴搴搰昸㡣㤵ㅤ㝡捣㘴㑣ㄵ挷㡦っ㈷攷㠷攳㝡ㄱ〳愵㜱愳づ㕢㍡昵敥㜴㌴摤㌷㈴扥㈴愵㉦ち㜷㉦搳挹攲㡦捦敡㡤㜶慡愲㈲㝣㝣㠵愳扤㌴㤳㡡㠲㍥昱收慥㜰㌲㉤㌱㔶㘱㤵ㄷ慦捤㕤愴ㄴ㌹㝡搱愵捡ㅣ愹㔸㘷慤搱昸ㅣ㍤搹慤挷㤸〹㙢㜲㥣㠳㐹っ㘴搴㐳挶㔲㔶㜱㔸㑢㙡戰搹愸㔸ㄶ收ㄲ搸ㅤ愰㘹㕥戴㝢挶捡㜴㔲㡦敢攵㜳愳换昵㔸㔴㑦愵㈷㔷搵㔶㔴㌵㔴㌷㌴搶搶㔷搷搷搶㌴搶㔷㌷㤴户㜶㠴㘳晡攴捡㡡摡扡挶敡捡㥡挶捡㥡晡摡㠶〶㠴戴㍤㈰㐵摢㤳昲昶〲搸慤扡愲㙣㜶愲㌷㠵㉡㙢㑢㈷㝡摡㘲㠹捤慢摢㔶㈶戴扤挹戵て㠰㉡㝡〵慤摤慥ぢ㕢㕣㐱㕢戸愰慤扤愰慤愳愰慤戳愰㑤㉦㘸㡢ㄴ戴㉤㉢㘸敢㉡㘸㡢ㄶ戴㥤㔸搰戶ㅣ㍣搶㔳㍣㘸㔰㠱昹㍣戲敡摤〹㍦㕤昲搰昴ぢ敦ㅦ㜶㑢敦㘹㌷扥敦㘷〳慦昱㌲㡣搳收㌳搱㔶㍢挲愹戴改づ散〹扥㔹㙦ㄹ搸㔹㘶㈶㍢㜶扣戳㈰㤳㙦挴㔹戴晤㘰㈱慤っ㈰戰㍦挰戴㤶㐳ㄶ㤴㠵㝢搳㘸昶改㘸㐷㔹㍣摣搱ㄵ敤搶换ㅥ晣㘵㔹㝤㐵㔹㔷㘷㡦㕥摥搶㤵搸扣㘱昳ㄹ㍤㙤摤㕤扤㥢慦摡扣㈱㕣摥搶㠳搰㠶戶攵㔱㥤㠴㙥㙤㈴㈵ㅥ〰愰搴ㄶ戸〴摤愲愹攸昱戳㍥㍦收愳愹㙢攳㐵愹改㐵㥢挷㉡昶搵搲摦㡦㐲㘰攲摣挴㌲昴晦搱㡥昲㜹㝡戸㝢㜲㔵㜵㐵㘳㐳㑤㔵㔵搵㠴晡摡〹㤵㜵昰挶㡣㤳㔶㌷㌶挲㘹慢㉡㈷㌴㌶㔶㔶搵㔵㑤愸搶づ㘲㘶愳〱〲〷〳㡣㘸愸㠰捥ㄸ㘲㤲㙤ㅤ㘸慥㠹敥昲戶攵㝡㐲ㅢ㐳愶戱〰㑡㍤㘳㙡昴昷㔹搱つ㜷㙤昹㘲捥㡦㥥㔹晥搵搸㤲㐱攵㡡〳㠷っ㈳攵㘴ㅥて㄰愸〰㤸收㈹㜱晢っ㜲〸㈵㔶〲㈸昵愴㤹晤㔱扢㝤昵搱搶㑢昶㔹戰㘹敢㥢㝤て㥣㍦㍥慤攸愸㤲㝤㌵㤹㙢〰〲戵〰挷搷㔵㤴慤㡣㙥摥㤰㉥㙦敢攸搲㌷慦㐶㠱㍡挳㥢捦搸扣扡户㉤〶昳㈷㔰〳㘷㐶换摢摡㘳攱㑥扤㙤㔹㙦㌸搹戹㝤慡搵㌱户㝡〰愵ㅥ㌳㔵晢挷搶ぢ敥㍡敤挶捡搹搷㥣戹㜱㙣昹㤹ㄷ㑣㔳散㝢愵慥ㅡ㄰㤸攲摤慦㔴㔵㌴㔶愲㘲㙡敡㔹㍤つつ㡤搹ㅡ慢慡慥慥慥㙦愸㥡搰㔰㔵㔷㔷㕤㔷慦㌵㌲挷㠹〰㠱㐳〱㐶㜸晡㥢㌶㠹㑣㤳〱㤴㝡搰㔴敢㠰㉦㈶㤶慤㝡㘲㘹昳つ㜷散戲摢捦㤲㕦㍤愰㌸戴㡢挵愶㤰戹〹㈰㌰ㄵ㘰㔶㉤ㅣ㌵摡㤳㐸㤷挷挲慢昴㘴㜹㕢ㅡㅤ㥦ㄸ慤㙦晢㑣㌳㡤㘲㥢〱㤴扡捦搴攱戹戶挵挷敦戱昴㈷㜳扦昷挶㉤慦捥㍣攷㡤㍥挵㤹㠵攸㌰㠳捣㌳〱〲戳〰づ㥢㔰㔱搶㤱㠸㈵㤲㙤敤㠹㤵攲㠲摢㤷昵㙣㑡㙢〱㔰敡㉥㌳㙢昵散捦晥晤㐴捤挶㌹㌷昹ぢ㙦晦昹昷挷扦愷搸扢㑡慤捣㐱㈰㑦㙦㕦㕤搱㔰㌳愱戶慥愱づㄳ㤰扡挶扡扡㑣慤搴搶搷㔵㔷㔶搶搵搵㔵㈱㔰㕤摤㔸愵捤㘵㤶昳〰〲昳〱昶捣㙦㐴㙤〱㌹ㄷ〲㈸戵挹㔴敥㡤挴㙤愱㤳摥昹挳晣搳㝢㐶敤㔵㔸㝡搸㤵㡡昳㉣戱换㈲㌲户〲〴ㄶ〳㑣慤慡㈸㑢㠷㌷㥦摥摤搶㤱㐰扤㈴攳搱敥㜰㙣晢㑣戳㠴〲㡦〴㔰㙡愳㤹晢ㅦ㍦扢昴㑦㉤㕦㕥㍦㘳㘳㜰攳ㄵ㠳㕢搶晡ㄵ㈷㜸㘲㥡愳㄰㌸ㄲ㥤换晣㐴㌲㡥挹㤹昴㉥搵㔵ㄵ㜵㜵戵㌵昵ㄳ敡㈶㔴挲㉢改慡改捥改晡㡡挹㔵ㄵ搵戵㔵つ戵昵つ搵㔵昵つ㡤昵㌵㤵㔵攵㜳ㄳㅤ攸〶ㄳ攸㤲敡㉡敡敡㈷搴搴搶挰挵㈷㌴㔴㌶搴㔶㘹㐷㔳㤱㘳〰〲挷〲㡣搹昶敥昱㌸㈶㕣ち愰搴㜵㘶〹㙥㉤扦敤愲戹愳㘳昳敥㤹戲愴攴敥挴戹㤵㡡戳㔳㈹㐱ㅢ〲㜹㉡户愱愲愶ㄱ晡搴愲㥢慣愹慤㙣㘸慣捡搶㙥㐳〳敡戶戶慥愶戶戶愶〱愳扣㜶〲愴㘸㘱㠰㐰㍢〰ち戳㥤㝤㡡搶㐱〱㥤〰㑡㕤㘵敡㕣㕤昱摥㥥挳㕢㥥㌸晣昲㥥㝢愳㍦摢㝢晥㙦ㄴ㈷搳㔲攷ㄱ㌲㉦〳〸㜴ㄱ㌵㜹㐶㜵扤ㄶ㈵敥㐴〰愵㉥㌳〵ㅣ㜰攲捡㉦慥㙡晤攷㥣摢㑡㥥㍢晥挴㤲搹て㈹㑥挴㐵㐰㡣捣㜱㠰㐰㌷㐰戳昷捣㘳晢摣㈶㐱㤱㍤〰㑡㕤㙣收㍦敥昲捦摦昹昹㐳㙢㕢慥晣敢㘴㜵㙥搹愴㝢ㄵ搷〰㤲㝦㤲捣㈹㠰㐰ㅡ攰挸㙤慥摡敤㔳愹㤷戹慣〰㔰敡㍣㔳愵〵搷捣㥤昱挰㤸戱昳㝦㌹晥㌳摦㠵㐷捤っ㈹慥㐸挴て㔶㈲攰ㅣ㈶攱挸搵つ搵㜰攱敡㥡扡敡挶摡慡散㌰㔹㕢㍦愱慡㝡㐲㘳㘵㙤㘵㕤㘵㘵攵㠴〹昵㕡ㅦ㌳㕢〵㄰㌸〵㘰ㄷ㔷晦愴㥤㑡㠶敦〰㈸㜵㠶愹捤㠵敦っ改㝤昳㔷㤷捦㔸㝤改ㄹ㥦敤昳挲换攳ㄴ㤷㐶愲捤㘹〸捣㙣㑤昷㜲㔲㕤㍥㉦摡搹㤳㠸㜶愷㈷愳㘵㌵㑣愸慤慥捦㍣戵ㄹ㡦慣慥㙢慣㙡㙣慣㥥㔰つ㤷慣㐳㔷㔴㍥㕤㕦㤶搴昵搴攴㉡㙤㌵㘴㘹愷〳〴捥〰ㄸ敥搵㐳㘸㘷㤲攷㉣〰愵㑥㌱㤵扢慥㘰昱㜹ㄷ㉣㝢㘶昶㔵㜵戳て㜹晤挵㕢攷㤷㥣〳昲ㄱ收㑣㜸㝡㌲㝣㌲㈶慡搹㘵㑢㜵㐵㈵㝦〶㕥慦㘱戹ㄶ愹㡢㑣㠸㔴㔵㜵搶㔵㠶㙢挲㝥捥㠲户㜵㘱㐰〷㉥㠹㝣㍢摡摤㤹㌸㔹㔶ち㝢㑦ぢ愷昴散㕣㜰㥣㐹㥢㤶攸敤敥㑣敤攵㑤㙣㑤㠷搳晡㥥㑥㕡㔶㠸㉢㔹㉢搶㔱㝡㑡昲摢搷㤹散挸㜰慣㔷㥦扡㌲㙡㤰昷㜱㤰戱㡡㑡戴攷愷捥㑣敡㈷㘵愸㉥㡤愶㘲昹扥㐲㘴扢㑡㘹㤰っ扤捡㥡扢ㄲ㈹扤㕢搴ㅢㄷ㕦ㄸ敤㔸慥㈷㕢㜵㉥晥昵㑥㈹敡〸㤲捣愵摣戸〵摤㈸㈸ㄶ㘷㥤㈳敤搸〸ㄶ㌲㝡㜷愷摥〹㝤㝢昴㘴扡㙦㜱戸㍤愶敦㤶挳㘲攴〹挲ㅥ㌹攸㤹㠹㡥摥㔴㜳愲㍢㥤㑣挴㜲㈹㔳㍢㔷㠴戱㝣散㥣㤷攸搴戱晡㉢攲攳㔳扥挲㐲愵㝣㘳扤㔶ㅡ㤴㥢慡㤰㡡戰㔵㌱ㄷ㠳扢攷扡㕤挵㈲㤴づ愵㠸改昴挹㠲〳〷㄰㈶㜲㈹㘶㑣㝥㐶㕢㤹戸㔳㐲敥㠳昳㜳㡢㡥㤹㥡摢戱捣〵〵挳捣搲捦㔸㠱摥㘰㜶戸扢㌳愶㈷晢摤攷㔱搴㐸㍢ㄷ挰扦ㄲ慤㌹慦昵搸ㄷ慢㤵慡捦㝦㜲戴㌳摤ㄵ攸搲愳换扡搸㈱㘳㉦愸戸㤸愶㜵㍤摡㜹㐰㘹攷ㄳ㕣〰㄰っ晡〲ㄷ㤲㈹㄰搴㉥㌲攲㝥㉥㘸户㝦昱㕥㠰㔴㥡㙣ㄶ㘰㘷㈷攵㡦㘳㤵㤹㉡㉣昴㉡攵散㜰慡㉢㑤昷散㤷㌸㥣昲扥㑦㜰㌱㠰㥦㡢攸〱昷〶㘴㝣攵ㄶ挸㤰昸㜴㍤ㄲ挶挶㤳戴㙥ㄵ昶挷㡤扤㡣改㝡慡㐳攳愶㐷ぢ摡捡捡〰㐲㘸晣㈵㜱㝡扦扥㌲㍤㍤㥣づて㡡㘳晢〴戵愴㠱㘹㥣愴㌲㐲㑣㌹㐴㜰㔶敡愰ㄹ㠳㠴㤰〴㙤㔲〶ぢ挲㤰㠴㠶㠳昶攲㉢㌴㘱晦㠵㠰敥㕣戳〶㥣㡥㥥扢つ㠲摤㤹捥㔹㝡昷攲扥ㅥ㍤㐵昶攲㐰扦愶㜴㌶㉦ち㕢搰搱扥㈴ㅤ㡤愵㉡愰改慣㘴愲户攷㥢㤴㐳㔹摡て〰慣挷㥦㠰ㄷ㙦㝢㤹㘰㉥摦愰ㄵ慣㥢戶㌶㕦㌱愵ㄱ愳㜱㤳㐵愳户㐲搸㔷昸㈳㡦戶〶㝦㠲晤搱晣摣㝢搹㥥㉤㈳慥扣㑢攲戰搰㘲っ挰㜴㥣㘲㠹挰摡㐳攲摦㑥㈴㤷户㈷ㄲ换㠹ㅥ㉡戱㔴㤷慥愷戹戱㌴搸摣㐸㤳つ㌳愵ちぢ㜳㜶㝡㙣㍢㔰摣㤲ち㕣〱㌰㘴㙡㉣㔶㘶㐹㑣〵搶〲㔵㠸㉤慥挰㤵〸散ㄱ㠹愶㌱〰㤴愱慡换㘰㡡㘸㈷挶扣捥㡡㤵戱搴㑡愵愳昸摣㌲㔸戵晦㈷敦扥㝥攸㥣㘹昷つ昹昸㠳㠹攷㡦㜸㐸㜵㥡〴搷摥搰㝥㄰搸捦㄰㥤戳ㅤ挳㠶㤷㌳㐴㤷㐴㘶㐶㘳㔸㡡㐸㉦㕣ㅡ挱ㅦ㘳㜷㔲攲㐳㌸昲㈴挳ㅤ挶扥摦昰㐸㌳〶ㅦ㙣㠷愶晢戲挳戱㙢昰㌳挶㠶晦ㅢ攲㜷扡㈱㕥〶昸㥣㘱扥㥦㈱ㄴ㑥攳ㄸ攴晢㘷戶㌹ㄱ㐷㌷捦〶㈹㉥㔵〱挹戹㑥㐶㝥㘷敦㈱㝢扥ㄹ㝥扢ㄳ㤲扢㌲晦搰㑦㘷㜷㍢㈹ㄳ攵ㅤ㘶晦㙦㤲攲㜵ㄸ㘵㑣㔲㝥っ挳㘹搷㄰㕣㑢戰㡥㘰㍤㠰㍡ㅥ㥤ㄱ㈷㉦㑤㠸昰㜷㔷㑣㔶㝡㘵㤶戰〱㌱敤㝡㠲㥦〰㘰ち㈲㥤㍡㘶㈰㌷㈲ㅡ戸〹愰搴摡愳㉥㌳㕣㉣攸㔳㘵㐰㜳㘶愲㙤㈴戸ㄹ愰攴ㄶ㠰昹戳昵ㄸ㈶扣摦搴㐱㤱㝦㈴㘴昶㍦㐴挳㝦戸收摣㉤摥摡搷摤搱㤵㑣㜴攳ㄸ㡥㌳㠷愹ㅤ㌸㘹㐹愹㜰㈰㍥㌷搱摣㥢づ挴㘷㐷昱愷㈴扥㐸敦搱挳改㘶㉣㘸㌰㉤㤹㡢㥤㔷㤹㜴戴㜴慥晣晦㌹㈹㤱㔵㍣搶㡡搹㜹㠹㜲戶㕥㘳㝡㘰㥡户㘲㝡〲愷㜶扡ㅣ㐴搲散㠱〰㈶㤸㍢攱慣挳愷摤ち敤慥晤昷捤㠷㡥晡昱愶慦捣扦愷挱ぢ攵搱昶〷搱㍤㠳搸〴㙣戰㍦㥡㍡〰ㅣ㥣㐵㘸ㅣ戵〳㜷〰ㄴ挲つ㌴㡥搳敡㜰㠸昶ㅣ㡤㕢㑣㠲㙢㘷晦㈰㈴攳愲㔹扢㥢改㘷㠱㡤敤〴攱摣㐷扢ㄷ㜱敤㔷〴昷〱搸摡挹慦㡤愸ㅡ㡤扦搲㈶㝥㐳愶晢〱搴ㄸ〰捥㤵戵〷〰慣㐷ㅤ〶昹㥣㠲愱扥㝤摡挱〴慥㘹搴挳挰〶晢愳愹戱攰挸ㄸ㐱攳㘴挵㌰㐰㉤〴㝢ㅡ愰挶㈴戸づㄲ捡㤱㤶㔳ㄲ敤〹㠲㈷〹㥥㈲昸㈳挱㥦〰搴㜸㈴愵㔱㝡愰昱㍣晣㘶㍢㡦愷挹昳っ挱㕦〰㙣㐶㜹㡥㌸㜶ㅥ攸㉣挶攳㡦ㄸ收㜹㈲晦〶愰づ〱㘰攳昶㘹㕢〰昲㝡㐸〵㌹㕣挶㜹ㄱ搸愰搶て㑤㔵㠲㈳㙢ㅣ㝡㠸㘱㥣㍤昳ㄹ㘷て㤳攰㍡收愸㐶㕡㌱捥㍦㈹攴㑤㠲户〸摥㈶昸ㄷ㠰ㅡ㘶ㅡ㘷㌵㈲晣捤ㅡ攷㕤挴戴昷〸戶〲搸㡣昳㍥㜱愶㜱㜸㜲㈲挶昹㤰挸㡦〰㔴ㅤ㠰㘱㥣㡦ㄱ捡㙢㥣㕡㈶㜰ㄹ攷㔳㘰㠳㕡㍦㌴㔵てづ㉦攳㜰㈲敦改㌹㕦㝤㘹㄰㕣〷㉤㡤㤰㈴㑤愷〰㑥愱扥〰㥢㜷搳攱㔵ち捤㑦㄰〰戰ㄹ愲搸㠸慡㠹㄰㈴㐶搰挸ㄴ〴㔰㤳㠰㤲愶㌳ㄸ㌱敢㔱ㅦ㈲㡦㑣搳㌹ㄴ㘸户〱㑡㈹㔳敢㠷愶㈶㈳㕤搶〰搹愶昳㤶㔹㑥搷㑣晥㑤㤳攰㍡搲㤹〲㐹攲ㅤ扢㔳敦㍤〸昶㈴搸㡢㘰㙦〰昵慡㘹㤴ㄳ挰挹摦慣㜷散㑢㥥晤〸捡〰㙣㐶ㄹ㐹㥣改ㅤ㑤㐸㈲㠶㌹㤰挸㔱〰㙡ㅡ㔰㠶㜷ㅣ㠴㘸㕥敦㤸ち㌶户㜱挶㈰㐹㔰敢㠷愶㥡㤱㉥㙢㥣㙣搳㜹㉡㥦㜱㥥㌴〹慥戳㈶ㅥ㌱㠹㜱慡㤱愹㔶㐳㔰㑢㔰㐷㔰て愰ㅥ㌳㡤㜳㍦㌸昹㥢㌵㑥〳㜹ㅡ〹㈶〲搸㡣㌳㠹㌸搳㌸㌳㤱㐴㡣㜳ㄸ㤱㔳〰搴㙣愰っ攳㌴㈱㥡搷㌸戳挰收㌶㑥㌳㤲〴戵㝥㘸慡〵改扣㡣㜳㔷㍥攳摣㘹ㄲ㕣愷㘱㜳㈱㐹㥡捥㕣慡晤ぢ搳㄰㐰收㍥摡㝣㤰戵〵〴ぢ愹㕤㜶㜶戶挸㠸慡㜹㐸㈰㐶㘸㈵搳㘲〰戵〰㈸㘹㍡㑢㄰戳ㅥ㜵㌳昲挸㌴㥤昹㐰扢つ㜰㌴㘵㙡晤搰搴㐲愴换ㅡ㈰摢㜴搶攵㌳挰戵㈶挱㜵攲戶〸㤲挴㍢摡愹㜷〷㐱㈷㠱㑥㄰〱㔰㙢㑤愳㝣〹捥扦攲㌷敢ㅤ㕤攴㠹ㄲ㥣〸㘰㌳㑡㡣㌸搳㍢㜸㠸㈷㠶改㈶㌲〱愰㤶〰㘵㜸〷㐷戲扣摥戱ㄸ㙣㙥攳愴㤰㈴愸昵㐳㔳㐷㈲㕤搶㌸搹愶㜳㑥㍥攳㥣㙤ㄲ㕣〷㠲㐷㐳㤲㜸挷愹㔴晢㑣搳㄰㐰收㍥摡㜷㐱搶㑥㈳㔸㑤敤戲摥㜱㠶ㄱ㔵挷㈰㠱ㄸ攱㑣㌲㥤〵愰㡥〳㑡扣攳㙣挴慣㐷慤㐲ㅥㄹ敦㌸ㄶ㘸户〱捥愳㑣慤ㅦ㥡㕡㡡㜴㔹〳㘴扤愳㈷㥦〱ㄲ㈶挱㜵㥥㜸〲㈴㠹〱㉥愱捡昱扣〶㔸〳戲㜶ㄹ挱攵搴㉥㙢㠰㉢㡣愸ち㐳㤰ㄸ㘰㉤㤹慥〴㔰ㅤ㐰㠹〱慥㐲捣㝡㔴愷摤〰敤㐰扢つ㜰㉤昸㠳㕡㍦㌴搵㠹㜴㕥〶㌸㈶㥦〱㡥㌶〹慥挳挹〸㈴㐹昳戸㠹㝡㙦㈴戸㤹攰ㄶ㠲㕢〱㔴慢㘹㤴换挱㔹㠵摦㙣昳戸㥤㍣㥢〸㝥ち㘰㌳捡捦㠹㌳㥢挷㌲㈴ㄱ挳摣㐱攴㥤〰㉡ち㤴搱㍣敥㐲㌴㙦昳攸〲㥢摢㌸昷㈰㐹㔰敢㠷愶㑥㐴扡慣㜱戲捤愳㈹㥦㜱愶㤸〴搷挱㙢っ㤲挴㌸て㔲昷㠷〸㝥㑢昰㌰挱㈳〰慡搱㌴㑥ㄹ㌸昹㥢㌵捥敦挸昳ㄸ挱敦〱㙣挶搹㑣㥣㘹㥣㌸㤲㠸㜱㥥㈰昲㐹〰㤵〰捡㌰捥㔳㠸收㌵㑥㌷搸摣挶昹㌳㤲〴戵㝥㘸慡〷改扣㡣㜳㔰㍥攳㡣㌲〹慥㔳攱㈴㈴㠹㜱戶㔰昷扦ㄳ扣㐰昰㈲挱㑢〰㙡㍦搳㌸敢挰挹摦慣㜱㕥㈱捦慢〴晦〰戰ㄹ攷㜵攲㑣攳昰愰㔹㡣昳㑦㈲摦〴㔰扤㐰ㄹ挶㜹ぢ搱扣挶㐹㠳捤㙤㥣㜷㤰㈴愸昵㐳㔳㉢㤰捥换㌸㈵昹㡣㌳搸㈴戸捥愷晢㈰㐹晡㤵㡦愹戶㘶ㅡ〲挸摣㐷晢〴㘴敤㔳㠲晦㔲扢㙣扦昲戹ㄱ㔵慢㤰㐰㡣昰〵㤹扥〴㔰愷〲㈵晤捡㔷㠸㔹㡦昲㈱㡦㑣挷㝡ち搰㙥〳ㄴㄶ搰〰晤搰搴㜷㤰㉥㙢㠰㙣挷晡昱ㄷ㜹愶散ㅦ㤹〴搷㤱昸㙡㐸ㄲ〳㤴㈰㔳昵〱搸扣愷散㐳㐱搶㑡〹㜸㜳搹㘶㠰㕤㡤愸㍡ㅤ㠲挴〰挳挸㌴ㅣ㐰㥤〹㤴ㄸ㘰〴㘲搶愳摥㐲ㅥㄹ〳㥣〱戴摢〰㝢㠰㍦愸昵㐳㔳㘷㈱㥤㤷〱㕥捡㘷㠰ㄷ㑤挲㜵㡥㘳㜷晦戹㤰戴ㅤ挷愵㠳愹㜰攴挸愸㝥㌲捦㜷㠶㐶㜰ㅢ户戹㌷㠵敢㠶㍣㜲ㄸㄲ㤹㥥㤸㥦㐸㑦㡦愶㝡㘲攱扥㘱ㄱ㌳昰敤㉥扤ㅢ㐷挵㐹ㅣㄱ㌸㜰㠹㥥ㅥ扤㔳㡢戴㈶㝡㤳ㅤ㝡换昴㥤攱㈸ㄹ攵㐳搵挹㈹㜲㠱挲昳昵㑥㐷戱㜹愵攰㈵㜸㝣晥昳㈰搰㜹挸㘵摢ㅦ捥ㅥ㐵㠴挰㔸㥡戵攸攲㘸㍡愶て㡥〸㕤挲挵ㄱ㔸ㄱ攷敦㥤㠳㈲㡢扢㜰昸㌳㝤㐸㘴㔶㌲摡ㄹ挳〵㑦㔶〶㡥㌷㜸挵㜹慥扥っ㘷敤ぢㄳ愹㈸㙦㍥つ㠹㉣㑥㠶扢㔳㍤㍣㌶散攸摢㌵㈷㈶㕢㝤晥挸戴㘸㜷ち搹㐸㉤㌲㕣ㅡ㘹敤㑡㥣㡣ㅢ晥扤昱敥㔹攱㥥搴㑥㔱㉢搹㉥㐴慡㐶ㄵ愸㠲〲㔵㕣㔰晣㜵敢㈷挸㙡昶㜱㌷愳㠸㐰敡捡攷㍦ㅦ愱㝥戶昲戹愱㙦摥㜴攰㈹㍥㜵捡戹㥢散㜹愰㥣昹㝡挴〸戰㙢㈳搱戴㑢づ〰㌸㝣搶㤲㤶散晤㤶晦改㍢〹晥ぢ㈰搹戹㐱敡昴戰㥣敢〴㐳つ㔷㈱㡥㥥㠳ㄶ㠸ㅡ㘷捣改㝥挱㠸昰搰ㄳ㠷㘶㠳㌳㜱㈲㕤ㄲ㤹ㅢ㙥搷㘳搸ち挷㑤攳愱㐶㠴挷ㅡ戸愷㤷㌲㘹捤㠹㌸敥昲㥡ㅥ㉣搷搴㡢㈳㔳㜱㌵ㄹ㌷㔰戵〸㠰昸㥦㠹ち慦〴㉡扣㔲㔰㈵㤱㐵扣㘰㈳㘱捡㑡㉣ぢ㈷愳改慥㜸戴愳㤸ㄱ㕥㠲搹㈹㝣ㄲ晤㐴ㄱ㉣㙦㍤㔶㥦攱摣愰㌷戶慡㔱摤ㄵ㌸㉥愰改㔸晤昰摣〲ㄵ挰㡦晡㥡昷㉦搰挳挸挰愱㡤㠲㌴㍦㝥愵换ㄱ㕤戶㕡〳敥搶搳攰愲搲〹㈹㕥㥦愰扦㙡〷㤱搵㝣㡡扥㡦㐰扦㠷昳㠳挰㄰㥣㥢〸㜷捥挴㈱㙡㈲㌹挸晣づ㑤㌱慡㤶㕤㑡㌲挴敢ㄲ捤戸㠱㠳㥢㍤㉢愲㥤㝡戲㤸㠸㔶ㅣ㍡ㄴ昱愲㐵挰愸㐳㙣㐸ㄷ晡晣晥挱挵㕥㜹戵㔸戲づ㌴て愱搱昳㘴扥㕢搴攲㤲晦慦㈳ㅡ愶㔰晤㘰戰㄰㔰ㅢ㡤攲㘸〷〳愸㡢ㄱ㘵㜹ㅣっ㘳挸㌰ㄶ挰晦〳㄰㥤㜵㤳㝢㜳〱昷ㅢ㌴㌰ㄵ㜱㉣㉢攲㥤㡡㘲摣㍦㤰换ㄸ㝥㈹挸㘰摢㈵㡡㠰㜱㝦愲搸晡㑡㑢愰ㄵ㥤慦摥ㄹ㌴晡㔱ㅥ戹昰晣愲愰愰〸㔵ㅤ㜰㥥㙥扢戲㠵戰㜸慢㉥户㉢搴㙥㔰㈱㌰づㅡ敦换挶〲昹㙤摥ㄷ㈸㕤昳㠶㘰㔰ㅢ㡦㘴扥愰㕡〳㘸搹㠲㈵ち〶㔹㤱㕡〵㙤㜱〸㙤昱㘳㐴晢改㌱㜰㝣㘰㍢㍤ㅤち收㐰㘴㐹㜷㌴㡤挶㑣㥤㘶㐶搳㔰慢㈴〲㠰愰ㅣ㜳敥㈹㘳㡦㉤搱戸捣㈴㘱㍦㌷㈹㘷搶戰慦㥢㙥㥦㐶ㅣ攸㐱㌶㈶ㄸ戶㜹挵㐰㑣㌲搱昰搰㜱㘷㥡㜹㈸攳搸换㥣㝣愸㔱昹て㠹㙤㜶攷愰昲㍦捣㔳挴㠷㝣㕡ㄵ摤㐶攱〷㉥㔴㡤㌰愷㉤㍣㌵敤摦㐵㙣㘷收㥣ㄶ〶㌹㜵㌱㜰㐳捣㑢ㄹ㉤摤㈹㜴ち㐱㌳㠶㉥㝦愸ㄹ㕣搰㥢捥愱㠴㔷づ㌳㈹戸㜴戲愰ㅢㄳ㐷㝣晤愳㜳㈷改攵㔱㌶㘳搲㈱ㅤ昶搷㥣㄰㐲〸ㅦ㕢摦㡣㈹㝥㡤㘹敢㙢㐱搹㥥㉢〷愵攰ㅦ㐲㜳㘷㙥㈲ㄴ㌳挶晢昱㔲ぢ挶㡤㜸㤹㥤㉦搴㌱戵挶㔷攷㘲晡㌰㐹㤰㠹㑡㡦愶㐵愶戶愷㌰搳㑢㜳㜸㌷㐳搲搰戵挸㈲㍤㠶扢昳㉢㜴㡣挶㘶㘸㘱㐷ㅡㄷ㙣㌲〲㜸晢㜳攷愹㈱㔸愴挸慣㈵㈵昵ㄴ攸挷㜹ㅤ㠵㐰摡慦㔹慢攸攲㈳昲扣㍢㐵㕤戹㤶捦挶㈹㍥㉢㘰捥晦搷㐱㝣㍦㤳㑡昴戵昶晢㈱㙣㐹挳慣㙢㑢㐶て㈷㥤㔷㠹㠵攳捣㜳〸㔷〲挹㌴慥㐸昳㙢㜲愵㙣㍡㌱っ捤昸〶㔶㌸ㄶ敢ㅢㅡ㘹改敥㠸攱㜲户捣搰慣㍥㕢㈶㙡㍢㐵㝤ㄵ㜱㈲㘲搴㔵㍦㜶㌱㡤搲㠲慦ㄳ㕢㔷㘶扦晥㜲㑣慢㐵㑢㤳捥づ㌲㠲㕡扤搹敥搶㐳㤱敤扥㡣挳愵挳慥搹慢㘴昲㘵㔴㜴㙤㉥ㄴ晢㌴摥愸挸摣攷㤱ㄶ㘷㘳㥢㥢挰昷㔳戰㥣戳愱㘶㐷つ搴㑥㔱㑦㈸愷㔱㑤㠱〰收愹㕦戳㠵㔰〸㝡㍤昹攳摢㝡㥡昹ㄷ㔳㌸㘳㕥扡〱〸㉥㤰㝤摡晥㐲㠲㙢㜰㍤㔶㤰㕤㤴愹敢ㄱ攷挲㑣㙢㐰慤㈹㕥捡攱㝡〷㠳㤵㌱晦㥤〸散挰昳摦ㅢ㈵〵㠴ㅣ㑡㈱㘶㐴㙤㐴挰㥡㈷㈱〸㥤㘴㔲㌹〹㍣摡㘴㌲摥散捤㜰ㄸㄹ愶〰昸㙦〵㠳戳愳挹㝢㌷㠵挲晤㜱捥つ㡢攳㥣㈳愳㤹〶㜰扤ㄷ㜷㙦㌰㍤ぢっ㉥扥〵㜴慤〹㘲晦戰㜹昳㘴㠴㝤㙡ㄳ㠰愵愰捣挵㡤㠹摣㔴收㍦つ㐰昱㤲挶戹挲㥡搹㜰㔰昷㈲㉥㌶愵愷扡ㄶ戹敡㔷挰㠹㍤㥢㈹攰㍥挴っ㝢㥡敢㠹ㄹ挰づ㙣㑦㕥昲愰ㄹ㜳搶ㄳ敡㌷挰㔸敡㈲㘸搹㜳ㄶ搵㥤捤摣敥昷㘶㘸㈱挳攱㘴㜸〰っ㥣愸〷收㈰戶㡦㌵〱昶晣づ愷搷晣㜷ㅥ㔲㘱晥换敢㈲㤶ㅥ㌴㠲㌹晦㥤捦㙣ㄶ㌰㥢㈷㠰攴ㅣ搸㥣晦ㅣ挱㘴收晣㘷ㄱ挲㤸晦愸㈷㠱攲ㅣ挸㝡㜲㐷敥㔶㤳敢㈹㤰慦㈵ぢ㡣㌱搰㐸愰㜸㠳㘴ㅤ㤹戵挵㐸㥥敤㡥㡥㌴㠵晤〹愴昵愴换㤳扦搱㍣つ扡搱㘸㉡㠴ㄳ㜹㍢ㅢ捤㌳㈰㐸㈵ㅦ〵搹敡㉦㠸攵㌴㥡㘳㠰ㅤ戸㤲㜹㘹〵戲㝤摡戱ㄴ㘲㐶搴昳〸㔸挶㐵搰慡攴攳挰愳㉤㈵攳摦扣ㄹ㡥㈷㐳ㅢㄹ戶㠰㠱つ㐷㍢〱戱㡣慦扦㘸㑢㘶昳昵㌰㤳戵㌳搹㍦挱㘰慢戴㑥攰慣㑡搳ㄱ㘶愵扤〹㔴晥㑡㡢㤸㕣㙦㠱㙢㥢㉢敤㙤㌰慦挳㉦扥ㄲ㠷攴搹㑡㡢㥡挲晥〵搲戶㔴摡扢攰㌳㉡慤㤶搲㘸㑦㘷愵扤〷戴㔴摡㜲挸㔶㕢ㄱ换愹戴㌸戰〳㔷摡晢㠶㙣㥦搶㑤㈱㘶㐴㝤㠸㠰㐷愵㈵挰愳昵㤰昱㈳㙦㠶㤳挸㤰㈴挳挷㘰㤰㑡㑢㈱㤶愹戴㑦㙤挹㙣㤵㤶㘶㌲摥愷挴㉥㠷扢㠳攲〴愰㥦づ捡て戲㤸㘱〵〵〴㄰换改愰㔶〲㍢戰ㄹ㡡㤱っㅦ㐷〷愵〱攵㘱㠶㔵㔴昷ㄴ收ㄶ昴㘶㌸㤵っ摦㈱〳慦摦㐸〷昵㕤挴㌲ㅤ㤴昷户愰㉦㐴晥戸㐴昴ㄵ晥挸㠳搵搵㙡愴㐲〷㔵㙡换㐶㈳挶攸搷㑦㘷㌶㘷㌰ㅢ㕥愰戱昹晡㔹㑣㘶㜶㔰㘷㈳㑣㕦摦〳㉣昹㝤晤ㅣ㤳㡢昷㙦戶搹搷㜹㑦㘷ㅤ㜲挲户㝢㤰㍣敢敢攷㤹挲昶〶㝤㍤改昲攴敦愰昶〵㥦攱敢㔳㠵ㄳ㔱愷慦敦〷㥣㔴昲〵㤰慤捡㄰换昱昵㡢㠰ㅤ戸㤲㐷㈲ㄹ㍥昸㉡づ㠵㈰㈰扦〷〲㝡㔴昲挵攰搱㝥㐰挶㔱摥っ㍦㈴挳㈵㘴㌸〸っ攲敢㤷㈲㤶昱昵㌱戶㘴㌶㕦㕦挳㘴㤷㌱ㄹ㉦昶搸㉡敤㐷挰㐱㈳㔹㔵㕦㠱㌰㉢㡤搷㝥昲㔷摡㕡㤳慢ㄶ㕣摢㕣㘹扣㍦戴づ㌹攱㌸ㅦ挹戳㤵㜶戵㈹㡣㔷㡢搶㤳㉥㑦晥㑡攳ㅤ㈳愳搲㘶〹㈷愲捥㑡㙢〴㑥㉡敤ㅡ挸㔶扣㡡㤴㔳㘹敢㠰ㅤ戸搲㈶㈱ㄹ㍥戸㠸㑤㈱〸挸敦㘱㠰ㅥ㤵㜶ㅤ㜸戴つ㘴㥣攲捤㜰㍤ㄹ㝥㐲㠶㈶㌰㐸愵摤㠰㔸愶搲㥡㙤挹㙣㤵㜶㈳㤳摤挴㘴扣㜰㜴㉥ぢ㥣㍤戲㔱扣㘵搴㑦〷戵〰㘴㌱挳㐶ち攰㐵愴㥣づ敡ㄶ㘰〷㌶〳㉦㉣攱攳攸愰㜸㙢挹挳っ户㔱摤摢㤹摢㘲㙦㠶㑤㘴昸㈹ㄹ㜸挹㐹㍡愸㥦㈱㌶搲㥡㐱昵昳㍥〰㡦㕥敡ㄷ㐸㡡㕥敡㘸㕢㕥戶㕥敡づ收㜵㈷昳㙡〷㠳捤攱㝦挹㘴愶挳摦㡤㌰ㅤ扥〳㉣昹ㅤ晥ㅥ㤳慢ㄳ㕣摢散昰㍡㤸搷㈱㈷㥦㜶㉦㤲㘷ㅤ晥㍥㔳㔸〴昴昵愴换㤳摦攱扢挰㘷㌸晣㘲攱㐴搴改昰㔱攰愴愶㝦つ搹敡㐴挴㜲ㅣ晥㝥㘰〷慥㘹摥挲挲〷户㥥㈹〴〱昹攵㌵㉣㡦㥡㝥㄰㍣摡㐳㘴㑣㜸㌳晣㤶って㤳㠱㤷戶挴攱ㅦ㐱㉣攳昰扣㤷㘵挹戵㌹晣愳㑣昶㍢㈶㍢ㄵっ㑥㠷晦㉥㜰晤㌸㍣捦ㄱ挴っ㡦㔱挰㙡挴㜲ㅣ晥㜱㘰〷㌶挳ㄹ㐸㠶㡦挳攱捦〴捡㔲㤷戵㘰㉥挱晥㐰㜵㥦㘰㙥㘷㜹㌳㍣㐹㠶愷挸㜰㌶ㄸ挴攱晦㠸㔸㤵攵昰摢晣愵㝦昱ㅦ挷㈸晤㘷㐸㠲晦㥦㘷换摡收晦㑦㌳敢㘷㤸㌵㙦㘳㌹㑤戹〶戸㝥㑣挹换㔹㘲捡扦㔰〰㙦㘹攵㤸昲㌹㘰〷㌶㈵㙦㜳攱攳㌰攵㕡愰㍣㑣昹㍣搵晤ㅢ㜳攳㜵㉦て㠶㉤㘴昸㍢ㄹ㜸〳㑣㑣昹〲㘲㡤㤶㈹户晦㜵ㄳㅥ㕤捡㑢㤰〸㤳㕥㙢㔳挱㘶搲㤷愹挲㉢㔴攱㈶㌰戰㑢〹扣㡡㔸㔱㉦づㅤ㜰昹〶挱㐲戳㕦㜹つ㘱昶㉢ㅢ挱㤷扦㕦㜹摤攴扡ㄹ㕣摢摣慦昰㉥搹㍡㘴敤搳摥㐰昲㙣扦昲愶㈹㡣搷捣搶㤳㉥㑦晥㝥㠵昷捤挴〳〲㙦㈱㘵〰摦愰挷㕥㥤㔴㤸戳㝢搹〴㑥㜱㠶户挱愸㜸㍢捤敡㕥㔸㝡敤ㅤ㠰㠱㥤㠱户搸昰昱㘹敦㔲〸〲昲㝢〷愰㔵搷㐴㤸敤敡㍤捡摤㑡㐶㕥㜱昳㘰昸㌷ㄹ摥㈷〳㉦扤㐹昷昲〱㘲㤹敥攵ㅥ㕢㌲㕢昷昲㈱㤳㝤挴㘴て㠲挱㌶㈶晣〷㌸㘸㈴㤳愰㑦㄰㘶摤㍤〴㤶晣㜵昷愹挹昵㕢㜰㙤㜳摤㍤っ收㜵挸〹ㄷ㤴㤰㍣㕢㜷㥦㥢挲ㅥ〱㝤㍤改昲攴慦扢摦㠱㑦敡㑥㙥愷㔱㜳搷㤸昰ㄸ㜰㔲㘹㕦㐲戶晡㍤㘲㔶愵搱敤㌵扥㘱㘳攰㑡攳敤㍡㝣㝣㥡〲㍢〳昲换敢㜵㔶㥤㔰㔱戳搲ち挰愳攱〸ㄵ㥢ㄲ摥っ㐵㘴攰摢昹ㄴ㉦攳㐹愵〵㄰换㔴ㅡ敦摢㔹㜲㙤㤵㌶㠸挹㡡㤹㙣ぢㄸ㙣㤵㈶摢㘰㘶愵つ〶㥤㤵挶㥢㜳昹㉢慤挴攴㝡〱㕣摢㕣㘹㉦㠲㜹ㅤ换愹つ愱㈶㌴㥦㙣捦㤶㥡挲㕥〲㝤㍤改昲攴慦戴㔷挰㘷㔴ㅡ㥡ㄹㅥ㐴㥤㉤敤㔵攰愴搲㜶㠱㙣昵て挴㜲㉡㙤ㄸ戰〳㔷摡敢㐸㠶て慥㜷㔱㠸㤱ㄱ戶㈵㄰戲㡣换摣捤㑡ㅢ〱ㅥ㙤㌷㌲扥改捤昰㉤㌲散㑥㠶户挰㈰㤵戶〷㘲㤹㑡攳㍤㐰㑢慥慤搲昶㘴戲扤㤸㡣㜷昶㥣愳て㉦敡㠹㈹㠲㔴㐵捣㘰扢攰愲㍥〵㔹捣戰㌷〵昰㉥㕦捥攸戳㉦戰〳㥢攱㜳㈴挳挷㌱晡昰攲㥦愵㉥戳㌶捤㔰㐶㜵昷㘷㙥㕦㝡㌳㡣㈴挳〱㘴昸ちっ㌲晡ㅣ㠸搸ㅥ搶攸攳㝥搵つ晤挴㌱㘰ㅦ㠴ㄴㄸ㕤ち搱㈲㉤ㅤ㌴搱㠱㠶搳㐶㌳㡢㠳㤹〵㙦昹㌹㑤㌶ㄴ戸㝥㑣㔶ち戲㤸㙣っ〵㠴㄰换㌱搹㌸㘰〷㌶搹慥㐸收㌶搹㌰㘰㉤㜵愱愷㘵戲昱㔴户㠲戹つ昷㘶㌸㠴っ㤵㘴ㄸ〱〶㌱㔹ㄵ㘲㝢㕢㈶昳㝣〷㡦㠷搵㙡㤰〸㔶攳㜵㐳㑢つ㥢搵㙡㤹㑢ㅤ㜳ㄹ〹〶搱扥㥥㌱愴㘱㍡晦㈸㘰㥤昷㈹㕣㜷㕤㜸㐱〶攷扦戸昵搲㥡敥㡢攱愶ㄱ㠳扣㕦㘱㠴戸ぢ㙥㤰㜱敢㈳㤱㉣挲ㄹ戸昳㝢捥㤹戴攷㐰搴攰攱㡥㔷戵㐸㌲㔲づ㠰㌶晥挷㍥㜷扦㡥㈴㤳㥥㡡㘷摦摢挰㌴㝣〲つ㈸捣昰㜹搱㡥㘴㈲㤵㠸愴换㕡㜱㕢慥㡣慦扥挱㡤昳捡愹晥㐷㈱搱㌳㑦ㄶ慣愸ㅢ〵昱慦攰慢㈰㠲换扢ㄳ㈷㜷㡢㌶晥ㄴ摦〰㈴昶ㅡ㌴㠸搹ㄸ㑤ㄱ㠱〳㘰扣搰㐱㔰㤴㑦㘸戴ㄵ攰昵ㄵ挱㡣戱〲扣慦挲挷㍦ㅥ㠱㙤扤㍣㐲㡤戰㈲敢㔰㥤㑡㉦ㅡ㌴挸㜵㠱挰㜵改㈴昳㠶㡥㐰㠰㜷㑥晣㡦愰慣捥㕢〷摥㠹㜲㑤挹挴㉣愳㜶㈸㑣愹㑤〲〸㠶㉡愰㌸ㄵち㑣㐶㜴搷收㘹㙤㜸㜳㠴昵㉥〹㔶㝦攰㌰攰㑢㠰㤷㐳戱㐵㜸㌳㑦㘰ち㌰㐳㠱戱摤戲ぢ㌴〱户ぢ㜰戹㉦㠱つㅤ㘲㑡㤷㙦㌱捡㍢㑥㡤户㥤㑥〷扢扦ち㐴㘷㌱㙣户攱㙣㤷㈷搸㌹㠴㙣㌷㕡挴㈰扢㐴㡥攸挵ㅢ㉤搲㝤ぢ㜰慣㥡㈶㙡㘷㌸㡣㉢㌲づ户〷昴〵㈹挲戱㑢㔹㈵㑥ㅢ攴㔶愵㔹㌶㜹㐳换搷㍢摡ぢ晡㝦㌵愰挳㔸戹戸ㅤ〶㌵㠵ぢ㄰㌳昱㠷㤳㡢㙡搴㤹戴ㄸ慢㜵㠰㡡捤㌲㉦慣扦ㄶ搸㙤㍦㌷愶搴㘱搹㉢㘵扣㍣㌸㉥㠶㈳昴㙤戸慢㌹ㅢ捡㈹ㅥㄵ扢㌵㙢戰戰㠷㤳〷㔹戰㌸㙡㈲戰散ㄵ搵㥤㌰っ晢㈲㈰㝤㠱戹愰攵敤㘰搴㉦挰挶㑥㈶户㤳攰㈹㈵㥢㡦㌶ㅦ㠹㠷ㄴ㠶㈶㈱捥㈷挴㔳㐹〹ㅣ㘶〵㜸っ挹愷戴〹〱㑡〹㐸昴ㅢ〴愱愹㤰捣〲㙡㙣愲ㅡ㕢慥挶㠶ㄹ㥡㘶攱昷㈳戱㡣㘰㌱昰慡ㄹ㜸戱搹ㄲ挶㠰挶ㅦ㥦㥡〱慣㔸攷㘶㥢㜵㌴㜶扦散㘹搵㑤㥥㠶㤸㠵㐴㝣㐲㍣㍥㤴㐰㡢ㄵ攰㜹㈱ㅦ㌵て〱㜶㤴敡㐶㠸㘰㈷挶㐱㑣㍢〶㠲戵㘳〱㠲愱昹㈰㡡㌵搹ㄹㄹ晡㑢㐹愴㄰ぢ㉣攲㤵㑣㌵㥡攰㈰㠲づ昰慡㈳㐰㘴㝦ㄲ㔴㔷㐳㉥晤ㅤ㔸昸慤㑥戹昰摢㐵愰戹扤愳搵ㄳ扢ㄸ㔸晡慥戶㡣㤲㜹收攷㑥㜹㤴㠵㡤㤲〷㔹㌱㍢㜵っ戰㘲戹换愱㠰攵㔷ㅡ晤㑡㉣户〶㔸户ぢ昱捣㑥ちㅤ〷ㅦ㕣攸㌸挴昹㠴㜸㐶㈷㠱攳慤〰て攵昸㤴㥥㠰挰㡥㜱愱㌰㈴㔳㕦愷ぢ戵㕢昸㜲ㄲ昹捤㜸㉤〵㍥搵〹扣㘱昸ぢ㜳っ摦ぢ㈲つ慦㠳敥㌶㕦挴ㄳ扢っ㔸㌱晣挹㤴ㅣ昵攴㔹㙥㘱晢挸〳㌵昰〷㕦戴〳㔶っ㝦㡥愷攱捦昲㌴㝣㌷ㄲ㠹攱扦〳ㄹ㌰㝣〲㜱㍥愱ㅥ㉢㜰㤲ㄵ㐸㥡㠱搲ㄴ〲㍢挶昰㘹㐸㘶㔹㥣㠶敦戵昰㕣㈹挹晢㡡戵㌳㔹㜴㌹㜳㈳敡㉣挶㄰㘰㘲戵ㄲ摣㘲㠸㔳散㠶挸戴摤㍥㑦㐳慣㐲㈲㍥㈱㥥慣㐹攰㔴㉢挰愳㌴㍥㙡㌵〲搲㜶㔷㐲〴摢㉥慤愰㥤㠷㑣戵昳〱㠲愱搳挱㤰户敤㥥㘱ㄱ愵敤㑥㘴搲㐶㠲㑢愸晢㔹㈰ㅡ㉥ㄴ㠷摣㙣摢㕤㐳戹㜰愱戳㐱㜷扢搰㌹㥥搸㜳㠱ㄵㄷ扡㥣㤲捦昳攴戹挰挲㕥㐱ㅥ愸㠱㍦㍥㜵ㄱ戰㘲戹㘵㔰挲摤㜶㜵㘰摤㙤昷晢㐸㈴㠵扥ㅡ㌲攰㐲ㄷ㈳捥㈷昴〳㉢昰㐳㉢㜰㠹ㄹ㈸扤ㄴ㠱ㅤ攳㐲㙢㈰㤹㘵㜱扡搰㘵ㄹ㍣㠹㑤〴搷戱攸㍣昷㌲っ扦㌴挷昰搷㠳㐸挳㕦〱扡摢昰㍣晢㜲㘳慦〴㔶っ㝦〳㈵㕦敤挹㜳㡤㠵扤㠹㍣㔰〳㝦㝣㙡ㅤ戰㘲昸㙦㝢ㅡ㝥㠹愷攱搷㈳㤱ㄸ晥㔶挸㠰攱慦㐳㥣㑦㘸㠳ㄵ戸摥ち晣挴っ㤴摥㠰挰㡥㌱晣㡤㤰捣戲㌸つ捦㜳㉢挱捦㈰㜱㈶挱捦ㄱ㔷ㅢ㠱ㄷㄳ晥㠲㌱愰挹愴㙥〱㔶っ㌱搷㙥㠸㑣摢㍤摣搳㄰户㈱ㄱ㥦搰敤㔶㘰㤳ㄵ昸愹ㄹ㔰扦㐰㐰摡㙥ぢ㐴㘴摡敥摤挸㔴扢〷㈰ㄸ扡〳っ㜹摢敥㥤ㄶ㔱摡㉥扦戶㙦扣挳晡〱敡捥㤳㈴挳㠵づ㠳散㙣摢㝤㠸㜲攱㐲㜷㠳敥㜶ㄶ㥥㈶戹戱昷〲㉢㉥昴㌰㈵摦攷挹昳㙢ぢ晢㈸㜹愰ぢ晥攰戶ㄲ戰㘲戹〶扢攵㌲攳㙥扤愷攵ㅥ㐰㈲㈹昴攳㤰〱ㄷ㝡㄰㜱㍥愱㠷慣挰㙦慤挰挳㘶愰昴ㄱ〴㜶㡣ぢ㍤ち挹㉣㡢搳㠵㜸ㄲ㈴昸㐵㈴昲摤〰摡ㅦㄱ㔷㡦〱㉦㈶晣ㄳ㘳㐰㤳㐹㍤づ慣ㄸ㘲扣摤㄰ㄹㄷㅡ攷㘹㠸㍦㈰ㄱ㥦搰ㄳ㔶攰㐹㉢昰㤴ㄹ㔰㝦㐶㐰㕣㘸㉣㐴搰㠵挴㜲捦㈲㔳敤㌹㠰㘰攸㘹㌰攴㜵愱㘷㉣愲戸搰㌱挸换㜸慢昷㑢搴㕤捥㔷㠸㝡㤹㌱〴昰挷愷㥥㐳ㄲ㈹挹扥㥥㈵搹摢戳㈴捦㈳ㄱ㥦㄰㑦㔱㈴戰挵ち昰搸㠴㡦㝡〹〱㈹挹㕥㘶㐹㘴㈰㝢ㅤ㤹㙡㙦〰〴㐳㉦㠳㈱㙦㐹㕥戱㠸㔲㤲㌰〴㙡㈷㄰扣㐷摤晦〱愲搱ㄸ㐲㤰㥤㙤っ晦愶㕣㌴㠶搷㐰㤷㍡㝢㥦摣㔴㠶扦慦㕢搸㠳㄰戰ㅥ昵〶㈲搲ㄸ㍥㈴敦㥢㥥㍣㙦㕢搸㡦㑤㜹昸攳㔳敦〰㉢㤶搳散㤶换㌴㠶㐱㥥㤶㝢ㄷ㠹愴搰晦㠵っ㌴㠶昷㑣搱㠱捦㄰ㅦ搵㍣慤㜹㔱㕢㘳㕤ㄵ摥㠲摥搰愹搷戴搷攲扤搷攱挶〹㤱捥扡㐸㕤㝢愴扡扤愱㉡㕣㕦ㅤ摡㙡愹昳㌹搲㠴晥㙤挵扥㘰散㝤㉢㐶㕡改〷㠸敤㤸㘶昴㈱㈴㈳〷㔷㌳晡挸挲㐷㐸㕣㐶㠰户㄰晢ㄴ㑦㍤㡣㉡晢散㌳㝢㤵〵㐰㘴㤵㝤〲扡㔴㔹㑥攵昰攴挳㡤晤㉦戰㔲㘵挵㤴晣戹㈷捦㤷ㄶ㌶㐸ㅥ愸㐱㘵昱㌲㘴戳捡㍥㠲ㄲ敥戹挷〷挰扡攷ㅥち㠹㈰〴晦㘱〹㄰㔵挶挳〷㍥愱㐲㉢㔰㘴〵㜸攲挰愷㌴㠰挰㡥㌱晣㈰㐸㘶㉥捥晥㡢愷ㄶ㠲㡦㤱挸昷ㄳ㘸挳㔹㜴㥥㕣ㄸ㠶㝦㍢挷昰扢㠱㐸挳昳㌴挳㙤攲ㄲ㑦㉣て㈵挴昰扢㔳㌲て㈵摣㈹攵㌸㠱戹敦㐹ㅥ〴挰㠵㜷㘰〱㑡㕢㜹捤搳昰慦㝡ㅡ㝥㌸ㄲ㐱㠸㑦摢ㄷ㄰㠶攷〱〲㥦㄰てㄱ㈴挰ㄳ〳〹散㙥〶㑡㜹㘰戰㘳っ捦㘳〶收攲㌴㍣㑦ㅥ〴㥦㈴㤱敦㍥搰づ㘴搱昷〶㔲捣㌳捡㙥〸ㅥ㈸㠸㈱㥥户ㅢ㈲㌳㜰㍣攷㘹㠸㌲捡挷ㄳ摡摦ち昰㡣㐰㌰〷㤸〱㜵㄰〲搲摤㍥ぢㄱㅣ㌸㘴捤㍦ㄶ㜹㙢攳〰㠲愱搱㘰㐰〰昷戸ㄱ㜰慥昹㜹ㄶ㈰㐴改㙥㔷㤱慤㡦愰〶㐸㈵晢晣㡣搵㌲㠶〰㤸㝤㡡晢晣㔲㤲挷㍤㑢昲㤸㘷㐹戸㤳捦㈷挴摤㝣〹㜰敢㕥〲摣扥攷愳戸〹㉦㈵昹㥤㔹ㄲ㝥戹㐷㙢㐴摥摡㐴㠰㘰愸ㄶっ〸㜸㤷㠴晢昳㐲㤴㤲㥣㑥戶搵〴搳㠰っ㜱扢㕥㠸捤㠰㐳ち㑢戹㍦敢〷搵戱㐳戴㜵ち㜰㝣㥡〴晡㡡捤扦愱愶搲㐹捥ㄴ捥㜷㔹㑣㍥㙡晥搲敢㤷㤶㌷㥤扥晡㕢て㕦搱昱昷㈹㡡㕢戰晢㐰㡥扣㡣搰昶ㅥ扥㝢㔰㍡捦户愹摤㙤ㄲ㥣慦〵㔶㌳㈱㐹㍣慡〵摡㈳㙣搴㠳㙣捡㔱扥搵㜳㤲㈵挴㙤㌸㈹改ㅣ㈹愹㥦摢㘶㠷收晦〲㥤㙤㡢㜹ㅣ扥㘷㤲昳㙥晡ㄹ㜸搷㝣ㅦ扡㔳㕦㈱扥挱㙡㝣敦戳愸㘰攲搷㤳㈵扢挷㄰挵㙦改昹敦㐰㐱晦〷㌹㉣㘷昶昸㠲ㄲ㘵搷㙤ㅥち慣ㄶ愳戸㔹愳摦〱㥡昱㝥扦㑤昹㡣㝥扢㐹㜰扥晤㌱挴ㅤ㍢㌱㘴慢ㄸ戲㤴扢㘸摢攷㌲摣㜲换㐹攱㜴ㄹ㕦敡㙦戱㘳晥㌳愶改挹㘷㍦㥥扥愶晡捦㔳㔴㐷㡥昶㙢㌳摡㙦捣愷晤㑤㈶挱昵敡㐶㙥换㠹换ㅣつ敤ㄱ㌶㕣㘶㤹㠵捤㜱ㄹ敥戰㐹㐹㡦㤵㤲㉡㙥㤳搱㙤搴昵㤰捥扡ㄲ昳㉥〵㔱㜱㐷捡换扣搷收㔳昰ㅡ㤳攰㝡㝤㈲户慦㐴挱づ扢㠲戲㉦挵㘲攷㈸挸㥤㈸㔱㔰㌷ㄴ攴㜶㤲㈸㜸愵㕤挱㘵㔴昰捣㍣ち㕥㤶㑦挱㌵㈶挱昹ち挳㄰㜷㝤㈴搳戸㘴㕡捡㥤㤸㥣摡㠴㥡㜸晡改㌲戸㙤㤳㤳挲㔹晦挳㕥㝢㙥昲㘷㑦㡥㙥㝡扥昸㥤㌵㔳挶㍥㍥㐵㜱户㈶㙢摥㙣晤㕦㥣㑦晢敦㥢〴搷晢〷搷㐰㤲㤸㌷〵敤ㄱ㌶敡㕦昶㙣㄰挹㌵敦ㄵ愰㑢㐹㝢愵愴敡㙡挴挵扣攷㐳㝡愶晥㑦〶㔱㜱㔷㈳慢㘰戶㜹㥤㥤㑦挱戳㑣㠲敢ㅤ㠰摣〲ㄱ〵扦㘳㔷昰〶ぢ㥢㔳晦摣捤㄰〵㑦㌳ㄴ攴㤶㠴㈸戸摡慥攰改㔴㤰慢㝦㉦〵㑦挹愷攰㉡㤳攰㝣て㕦㠸㍢〷㤲改戹㤲㘹改摤㠸攷搴㈶㙢扦摦晡攷搲㍦㈷㠵戳晥㙦慥昹攷搲㐷㙦ㅤ搳昴慣㙦晤㠵捦㍤㡣㈱㠳㉢晥慣昶搹晡敦捤愷㝤摡㈴戸㕥愲昷㄰㈴㠹㜹㉦㠲昶〸ㅢ昵㉦敢㝥㐴㜲敢晦㔱搰愵愴ㄷ㑢㐹ㄵ㤷敢㘲摥ㅥ㐸捦搴晦て㐱㔴㕣ㄹ㘷ㄵ捣搶晦昲㝣ち㥥㘸ㄲ㥣㉦戲ぢ㜱㔵㉤㤹晥㐸㌲㉤攵㑡㤷愳昱〰㈳昲昰㈶昰攰搹扤㐹晥昸㐶㌶㤵㍥㘷愵㕣慡昶扦㘴慡晦愵搳㥣㘶扥收攵㤳㡢摦扥愸慥改戶㐷戶㍣㝣攵ぢㅦ㑣戹晤㐷㉤㑦慥ㅡ㜹㐸㤳㝡㈹愷㌴㔹㜳敢昹㑡搳㘹ㄲ㥣㙦愵ぢ㜱㘵㉤愵昹戱㔱㥡搷ㄱ捦愹㝡㐳摢㝥㍡㡢㌷㥣㈹㥣愵㈸扦㜳摣愶㡤㥤搵㑤挷㑣㜹㝣敢摣㐹㉦㑥㔱㕣ㄱ㘷敢㈲慢㝤㕢㍥敤㡦㌷〹慥㔷捡㜱昹㉣捥戲〱摡㈳㉣扦㈱慥愱愵㑣搷㑢㤹搴㠷ㄶ㔷㑥摢攴捡㔸戸㙥㌰戸戸扣ㄵ攷㌹ㅡ戹㘵㥣攷㈶㄰晤㕣㤹㝡㝥挷搴昹㥦㉦敤晦㙤㤴晥㌰㈲摥㤲挲挱㌸㕥ㅦ扥㌸㌱㌵昳㉦㑦㜷戱づ捣挷㔹晦捥㘴㔴ㄶ㘳㝤㠵摢㑡戶㈰㤹㐹㠷㝦て㠲㙢ち㈰㡣攳㍦㍦ㄹ㤱㡤搹摥㘹戱㔷ㄶ㡢㙦敥攳晢挴㝡愷㈵㌱㠵㥢㔹㐵〵㠵捡昳㔵㔱收㍦㌷挵㌷㤹㉤〱㌳扡㝢攳晣㐷ㄲ㝢㜹扣搳㘳㕡㌴㉤敦挴ㄹづ扡搲戸ㄱ㄰戸ㄹ㠶ち㑣㍥㜰挶㠱搵昵晥㈵戰攰㜶攴挲ㅡ捣㑥㡢㤸㈷㥦愰㜶㉢㐴㉡敥ㄱ㔰ㅥ㔱晣ㄷ戱㌶捦挹戶攲㠵愶㠳戸㕥㜳扢挰㈴戸摥户挷㔵扣㜸捥捦ㄱ㐰ㄶ昲慢㘴㜹㡥㐸㙥㌷挳〵㌹㍥㍥敤づ挰㈱㠵㡡慢㙡昱㤴㌹㤰㥥昱㤴扢㠰㔵㕣挰㘶㕤㍢慢攰捣㝣ち捥㌰〹慥㜷摥㜱戵㉢ち摥㠷㐰㐶㐱㔹挶扡ㄴ攴挲ㄵㅦ㥦昶㙢㐰㈸挸搵愷㈸㌸搵慥攰晤挰㉡㉥昴扣ㄴ㥣㤴㑦挱㐳㑤㠲昳扤㜳㈱㉥ㄲ昱挱摢〹〱戱㌲攱挲㙤晢㝡づ慥昲㜲㔲㌸㝢㡥愷搳㕢㉥㕥㌵㜴㜴㔳摢戲晢ㄲ戱搷㌰捣㜰㜱㤷搵㍥摢㜳搴攷搳扥捥㈴㌸㕦ㅡㄷ攲挲㄰ㅦ㥦戶ㄹ㄰摡㜳戱戶つ扤㜸㜶㕤㠵戴㜸㠶㌷㤵㜲㠵㤷㤳搲㔹㡡㡦ㄷ摥戹昵挹ㄷ敢㥡㕥㍦昹攴ぢ敥扥晣㈹㜳愵戶㜵㡡攲〲捦慢㌴㤵昹㑡㜳㠸㐹㜰扤〱㡥㡢㐳捦〶㈷㉦㜶㌱晥㘱㤶敤㝦㤴㜱㜹敡㡦昰づ捦攰㠸㠱收㉡㐷摥昱ㄱ㤳晢㑦㈵㜸㤱㔳ㄲ晦㈵㙣㉥摥㑢㠶搷㌷攱晦㈳㥢户㜷昰扥㌲㝥昷搹㝡㔵㤰㈶㌱㈶づ㐴ㄶ㈴昱敥愰㐱㤱㤶ㄴ摥㘲搱㔹㡣晦㜲㠴晦㉥㤳散摥ㄹ㉥摥攰㐶㕡ㄱ㔷㠳㘸㐷晣捦㘲〵㥥㤷挱捥〱搹昹㉤㜰摢㤵愳慣㍤慣㌷ㄹㄴ昰晤㑦㕦敦摡㡤㕣㤳㉤㔲攳㔱㥤挶收摤㙡㥦昴㙦昸搲扣㑦㝢ㅡ㜵㠹㕤㉥慡㡢ㅢ搷摡㌳㠸ち扦〰㕦㠸㉢㘹㝣㝣摡戳㈴㍣㐷昰㔷㠰愰攲戲㤹㝥㄰㜸ㅥ㈰晢晦㉤㔶㜰捣㐸ㄵ愸㔱㔶㘶㙦㔷敦㤱捤㙣ぢ㜸㌵㜶㔳㑡っ挴っ㕦㈰㡡㌷つ㡤っ晤㕣㥤㍡㉤挶㍢㝦㌳㤹挲昱㝦挱〶て愶ㄹ㌷㑥㜹戳改扢㑤攷㑦㔵㕣㠰㔲㈵㤱㔴愴捡㉣ㄵ㝣昶昲扥っ〶㕢㜹㕦戱昸捤昲㜲ㄹ㠸て扥㐱㐰挲㙢〴慦〳〴ㄵ搷㝣㈲㥣攵㉤㔰扢㕢挲㜳捡昷㈶昹㜳换昷㌶㔱搹昲㈹㉥て㔹㐶㑢敢㔰〷㈲昸攰敥㍥愰昶㉥挱㝢〰㐱㕣挹换挹戱搴㌳挷昷挹㥦㥢攳㠷㐴搹㜲攴㝡捦㥥愳㡡㕢㠲挹㔴愴㠲㤶㘰㥦摤㑥晦〱㤳捤㑥㥦㈰㙡ㄳㅡ攲㜲〹ㅦ㕣㥥㈷攱㌳㠲捦〱㠲㡡㙢㈳㥢㥤ち㉣攱㌹㜶攲愱㡤㐳㙢晥㝦㘸㕢〶㡡换㈸扢搶㈱慥㝦昰挱戵㜶㜲ㄶㄱ昸〱㠲㡡㡢ㅤ㕢㡥㥦晥搷㜴昳㥣ㅣ㡢挹㥦㙢愷㈰㔱㌶㍢㜱㕤㘴捦㔱㜱㐱㈳㠲つ㍢㝤㘸〹昶搹敤㌴㠴㍡㘴摢捦搰㕣愱愱㡢㈰〳ㅦ扣〴㤴㠴㕤〸㜶㘵ち挵㌵㠴㑤敢㝦㔹挲㜳戴ㅥ㐱晥㕣慤扦㐵㤴㑤㙢㉥㌷㜲戴收㍡挱愶昵ㅢ㤶㘰㥦㕤敢㍤愹㐳㔶敢扤ㅣ㐲㌹㍢户挹㜸搵㔳挶扥戹㌲昶换㤵ㄱ摡〰ㄹ昸攰㉡㌷〹㈳〹づ㘰ち挵㘹戲㑣ㄷ戶㐰㉣攷㌳晣㉦慣挵㤸㈹㜲㘶㙣㌳挹昳㔶慥㌹㈶ㄹ㑤㐱戹㈶ㄹ㐳㤴捤㈴㥣㐴摢㑤㔲挴㤹㕤㝦昳㑡捥㜷〶挵摢挲挹㘴戸慦㌸摥ㄶ搳扢㤷愵扢㡡摢㔶㘰㈲㡤ㄷ㘲攲捥㈷晥㌹㡣㌶づ戹戰て攲㙦㠸搳㌸㝣㝣㕡㌹昳ㅥ㑦㔰〱㄰㔴㜷〰㙢㉢挳㔳㥥㘵愸㈲㝦㙥ㄹ㙡㠸戲㤵㠱搳㍢㝢ㄹ㐲㥣㤷㐹㡥㜵攴慣㈷㤸〰㄰㔴㥣㠴搹㜲㝣搴㌳挷㠹攴捦捤㜱ㄲ㔱戶ㅣ敦㜷攴愸㌸搱ㄲ挱㘴㉡㔲て㕡㠲㝤㜶㐷㥡㐲ㅤ戲㡥搴攴㄰捡改㡥㑤挶慦㍤㘵㌴攷捡㤸㥥㉢挳捦ㄱ㙡㥢㠷㑡づ㘴㕦昳昲收㑣攴慢㌸晥挹㍣㜸ㄶ㘳㄰㈶扦ㅣ晣挴㘵敦㐶〱攸戲㤳㐰㈹㉥〸㈸づ㠸㐲昸愵㐹㤸㉣〴愵㌸㐸ち攱㉥㤳挰㜹㤸㌶㠷㐲㌹〸戲㑣摡㕣挶㌸晥㐹㠶昳散ㄹ㜲㤴ㄲ㥥昹挴㜲㤰ㄲ㥥〵㜶ㅥ㡥㔰㤲挵㑦ㅤ㑡㜱搴ㄲ挲㈶㠷㔲ㅣ挹㠴㜰扢㕤愹㔶ち攵挸㈵ㄹ㉥㘶㡣㠳㤶㘴戸挴㥥攱㍢㔶昲㥢ㅤㄹ㜲搰ㄲ戹ㅢㅤㄹ㜲㈰ㄳ挲㑤昶っ㡦愶㔰づ㕣㤲攱㌱㡣㝤㠸㤸㘴㜸慣㍤㐳㡥㐱挲㜳ㅣ戱ㅣ㠲㠴㘷愹㥤㠷攳㡦㘴㜱㥤㐳㈹㡥㐹㐲㔸敦㔰㡡攳㤴㄰搶搹㤵ち㔳㈸挷㈵挹戰㥤㌱づ㐹㤲㘱㠷㍤㐳づ㍦㤲晣㙡㐷㠶ㅣ㤲㠴㜰㤵㈳㐳づ㔳㐲戸搲㥥攱㌲ち攵戰㈴ㄹ㜶㌱挶ㄱ㐹㌲㡣㥡〱㐶ㄴ㐷ㄸ攱㌹㤱㔸づ㌰挲戳摣捥挳搱㐵戲㔸攳㔰㡡㈳㡥㄰㉥㜵㈸挵㔱㐸〸㤷搸㤵㑡㔰㈸㐷ㅤ挹戰㠷㌱づ㌸㤲攱㐹㘶㐰㤴攲〰㈲㍣㐹㘲㌹㝥〸㑦捡捥挳〱㐲㜸搲挴㜲㝣㄰㥥㕥㍢て〷〷㔱攳㝣㠷攲ㅣ㌰㠴㜰㥥㐳㜱づ㈲㐲昸㥥㕤昱㍥ち攵搸㈰ㄹ慥㘲㡣挳㠲㘴㜸㡡ㄹ㘰愴㤴摤㌸〳㍣づ昶㈹㜶摦㈲散㉣㐷昶散搲㠵㜰愶㈳㝢㜶昳㐲㌸挳㥥晤㘹㤴捡㙥㕤戲㕦捤ㄸ㝢㜴挹晥㜴㌳挰㠸㘲敦㉤挹扦敢挸㤰㍤扡㄰扥攳挸㤰扤扣㄰㑥戵㘷㜸㌶㠵戲㔷㤷っ捦㘱㡣ㅤ扡㘴㜸慥ㄹ㤰っ搹㐱ぢ捦昷㠸㘵晦㉣㍣攷搹㜹搸〱ぢ捦昹挴戲晦ㄵ㥥ぢ散㍣搲㍢愲〴㤹扤ち㠴㝤㈱昶㤲㘸㌳㍥敤㈲〴戰慥㘵〷昷㙤挴ぢ㔶慡㡥ㄳ㍡㑦㌸攱㤳搲愲戲㍤㡢㡥㙡㉡㔹晢搲敦㕦戹攴改攳㈶扦昱昹搵㔷㍦晤㡦㑢㌶㝦㝥㕦晢攴㐷慦扢敥户㠷㕦扢昹㤵㕤㈳敢ち敥晡㘴敥扡㔳慢㤶㥦㝡㔲㘴挹搸㔹愷ㅥ㝤攲ㄱ㔵ぢ㜷ㄹ㔷㔸㌸㘸搰攸㘱扦摢晤攰搰敡㤳敥㔶て晣昵㕢摤㑡晡㑣㘶㘸㙤慥㈱散ぢ戱敦ㄴ㌵㉥ㄶ㌵㤴昴㥡㉥㉥昶㥥挲昵㐳攱㉡㘵挷户㐳㤵㤵扥搴愵〶晢㔴㔱攳㔲㐳つ㜶㠷㍢㔴つ改㘱㕤㙡戰愷ㄵ㌵㉥ㄳ㌵㤴昴戱㉥㉥昶戵挲昵㈳攱㉡㘵㌷戹㐳㤵㤵㥥搷愵〶㝢㘰㔱㘳慤愱〶㍢捦ㅤ慡㠶昴挷㉥㌵搸㉦㡢ㅡ㔷㠹ㅡ㑡㝡㘴ㄷㄷ㝢㘶攱晡戱㜰㤵戲㔳摤愱捡㑡㍦敤㔲㠳晤戵愸㜱慤愸愱愴愷㜶㜱戱挷ㄶ慥昵〶㤷昴搵㉥㉥昶搹挲戵㐱戸㑡搹摤敥搰㈲㐹て敥㔲㠳㍤戹愸昱ㄳ㐳つ㜶扢㍢㔴つ改挹㕤㙡戰㐷ㄷ㌵㙥㌴搴㘰㘷扣㐳搵㤰晥摤愵〶晢㜹㔱㘳愳愸愱愴㠷㜷㜱戱愷ㄷ慥㕢っ㉥改攳㕤㕣散敢㠵敢㌶㠳㡢晤戹㡣㍡㡢捣㔱㘷ㅡ㤲ㄴ攳ぢ摥散㘱㠵㜰㠴㠳挰㑥㔵〸ぢㅤ〴㜶㜳㐲㔸攰㈰戰攳ㄱ挲㝣〷㠱㝤㡤㄰收㌹〸㙣晤㐲㤸敢㈰戰㍤ち㘱㡥㠳挰㈶㈸㠴挳ㅤ〴㌶ち㈱戴㌸〸㙣〷㐲㤸敤㈰搰昵㠵㌰换㐱愰㌳ち㘱愶㠳㐰昷㄰挲っ〷㠱ㄵ㈶㠴改づ〲敢㐸〸捤づ〲慢㐵〸搳㜲〹㠳晦ㅦ㤸慥㑦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</si>
</sst>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5" formatCode="0.0"/>
    <numFmt numFmtId="166" formatCode="0.0000"/>
    <numFmt numFmtId="168" formatCode="0.000"/>
    <numFmt numFmtId="173" formatCode="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ont>
    <font>
      <sz val="10"/>
      <name val="Arial"/>
      <family val="2"/>
    </font>
    <font>
      <sz val="12"/>
      <color theme="1"/>
      <name val="Arial"/>
      <family val="2"/>
    </font>
    <font>
      <sz val="12"/>
      <name val="Times New Roman"/>
      <family val="1"/>
    </font>
    <font>
      <b/>
      <sz val="12"/>
      <name val="Times New Roman"/>
      <family val="1"/>
    </font>
    <font>
      <sz val="11"/>
      <color rgb="FF000000"/>
      <name val="Aptos Narrow"/>
      <family val="2"/>
      <scheme val="minor"/>
    </font>
    <font>
      <sz val="11"/>
      <color theme="1"/>
      <name val="Calibri"/>
    </font>
    <font>
      <b/>
      <sz val="11"/>
      <color theme="1"/>
      <name val="Calibri"/>
    </font>
    <font>
      <b/>
      <sz val="11"/>
      <color theme="1"/>
      <name val="Calibri"/>
      <family val="2"/>
    </font>
    <font>
      <sz val="10"/>
      <name val="MS Sans Serif"/>
    </font>
  </fonts>
  <fills count="6">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00FFFF"/>
        <bgColor indexed="64"/>
      </patternFill>
    </fill>
    <fill>
      <patternFill patternType="solid">
        <fgColor rgb="FFE2E3E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13">
    <xf numFmtId="0" fontId="0" fillId="0" borderId="0"/>
    <xf numFmtId="0" fontId="3" fillId="0" borderId="0"/>
    <xf numFmtId="0" fontId="5" fillId="0" borderId="0"/>
    <xf numFmtId="0" fontId="1"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0" fontId="8" fillId="0" borderId="0"/>
    <xf numFmtId="0" fontId="12" fillId="0" borderId="0"/>
  </cellStyleXfs>
  <cellXfs count="42">
    <xf numFmtId="0" fontId="0" fillId="0" borderId="0" xfId="0"/>
    <xf numFmtId="2" fontId="6" fillId="2" borderId="2" xfId="6" applyNumberFormat="1" applyFont="1" applyFill="1" applyBorder="1" applyAlignment="1">
      <alignment horizontal="center" vertical="center"/>
    </xf>
    <xf numFmtId="2" fontId="6" fillId="2" borderId="6" xfId="6" applyNumberFormat="1" applyFont="1" applyFill="1" applyBorder="1" applyAlignment="1">
      <alignment horizontal="center" vertical="center"/>
    </xf>
    <xf numFmtId="2" fontId="6" fillId="2" borderId="3" xfId="6" applyNumberFormat="1" applyFont="1" applyFill="1" applyBorder="1" applyAlignment="1">
      <alignment horizontal="center" vertical="center"/>
    </xf>
    <xf numFmtId="2" fontId="6" fillId="2" borderId="4" xfId="6" applyNumberFormat="1" applyFont="1" applyFill="1" applyBorder="1" applyAlignment="1">
      <alignment horizontal="center" vertical="center"/>
    </xf>
    <xf numFmtId="165" fontId="6" fillId="2" borderId="2" xfId="6" applyNumberFormat="1" applyFont="1" applyFill="1" applyBorder="1" applyAlignment="1">
      <alignment horizontal="center" vertical="center"/>
    </xf>
    <xf numFmtId="165" fontId="6" fillId="2" borderId="6" xfId="6" applyNumberFormat="1" applyFont="1" applyFill="1" applyBorder="1" applyAlignment="1">
      <alignment horizontal="center" vertical="center"/>
    </xf>
    <xf numFmtId="165" fontId="6" fillId="2" borderId="3" xfId="6" applyNumberFormat="1" applyFont="1" applyFill="1" applyBorder="1" applyAlignment="1">
      <alignment horizontal="center" vertical="center"/>
    </xf>
    <xf numFmtId="165" fontId="6" fillId="2" borderId="4" xfId="6" applyNumberFormat="1" applyFont="1" applyFill="1" applyBorder="1" applyAlignment="1">
      <alignment horizontal="center" vertical="center"/>
    </xf>
    <xf numFmtId="0" fontId="10" fillId="5" borderId="0" xfId="0" applyFont="1" applyFill="1"/>
    <xf numFmtId="2" fontId="9" fillId="0" borderId="1" xfId="0" applyNumberFormat="1" applyFont="1" applyBorder="1"/>
    <xf numFmtId="0" fontId="9" fillId="0" borderId="0" xfId="0" applyFont="1"/>
    <xf numFmtId="0" fontId="9" fillId="0" borderId="1" xfId="0" applyFont="1" applyBorder="1"/>
    <xf numFmtId="0" fontId="2" fillId="0" borderId="0" xfId="0" applyFont="1"/>
    <xf numFmtId="0" fontId="0" fillId="0" borderId="0" xfId="0" applyAlignment="1">
      <alignment horizontal="center"/>
    </xf>
    <xf numFmtId="0" fontId="11" fillId="0" borderId="1" xfId="0" applyFont="1" applyBorder="1"/>
    <xf numFmtId="0" fontId="0" fillId="0" borderId="0" xfId="0" quotePrefix="1"/>
    <xf numFmtId="166" fontId="0" fillId="0" borderId="0" xfId="0" applyNumberFormat="1"/>
    <xf numFmtId="0" fontId="6" fillId="0" borderId="1" xfId="6" applyFont="1" applyBorder="1" applyAlignment="1">
      <alignment vertical="center" wrapText="1"/>
    </xf>
    <xf numFmtId="0" fontId="6" fillId="0" borderId="1" xfId="6" applyFont="1" applyBorder="1"/>
    <xf numFmtId="168" fontId="0" fillId="0" borderId="0" xfId="0" applyNumberFormat="1"/>
    <xf numFmtId="173" fontId="0" fillId="3" borderId="0" xfId="0" applyNumberFormat="1" applyFill="1"/>
    <xf numFmtId="0" fontId="9" fillId="0" borderId="0" xfId="0" applyFont="1" applyBorder="1"/>
    <xf numFmtId="0" fontId="0" fillId="0" borderId="0" xfId="0" applyBorder="1"/>
    <xf numFmtId="0" fontId="9" fillId="0" borderId="1" xfId="0" applyFont="1" applyBorder="1" applyAlignment="1">
      <alignment horizontal="center"/>
    </xf>
    <xf numFmtId="173" fontId="9" fillId="3" borderId="1" xfId="0" applyNumberFormat="1" applyFont="1" applyFill="1" applyBorder="1"/>
    <xf numFmtId="166" fontId="9" fillId="0" borderId="1" xfId="0" applyNumberFormat="1" applyFont="1" applyBorder="1"/>
    <xf numFmtId="168" fontId="9" fillId="0" borderId="1" xfId="0" applyNumberFormat="1" applyFont="1" applyBorder="1"/>
    <xf numFmtId="0" fontId="0" fillId="0" borderId="1" xfId="0" applyBorder="1" applyAlignment="1">
      <alignment horizontal="center"/>
    </xf>
    <xf numFmtId="173" fontId="0" fillId="3" borderId="1" xfId="0" applyNumberFormat="1" applyFill="1" applyBorder="1"/>
    <xf numFmtId="166" fontId="0" fillId="0" borderId="1" xfId="0" applyNumberFormat="1" applyBorder="1"/>
    <xf numFmtId="168" fontId="0" fillId="0" borderId="1" xfId="0" applyNumberFormat="1" applyBorder="1"/>
    <xf numFmtId="0" fontId="11" fillId="4" borderId="1" xfId="0" applyFont="1" applyFill="1" applyBorder="1"/>
    <xf numFmtId="173" fontId="0" fillId="4" borderId="0" xfId="0" applyNumberFormat="1" applyFill="1"/>
    <xf numFmtId="0" fontId="11" fillId="4" borderId="5" xfId="0" applyFont="1" applyFill="1" applyBorder="1"/>
    <xf numFmtId="2" fontId="0" fillId="4" borderId="0" xfId="0" applyNumberFormat="1" applyFill="1"/>
    <xf numFmtId="0" fontId="6" fillId="0" borderId="1" xfId="6" applyFont="1" applyBorder="1" applyAlignment="1">
      <alignment vertical="center" wrapText="1"/>
    </xf>
    <xf numFmtId="2" fontId="6" fillId="0" borderId="1" xfId="6" applyNumberFormat="1" applyFont="1" applyBorder="1" applyAlignment="1">
      <alignment horizontal="center" vertical="center"/>
    </xf>
    <xf numFmtId="0" fontId="6" fillId="0" borderId="1" xfId="6" applyFont="1" applyBorder="1" applyAlignment="1">
      <alignment vertical="center"/>
    </xf>
    <xf numFmtId="0" fontId="6" fillId="0" borderId="1" xfId="6" applyFont="1" applyBorder="1"/>
    <xf numFmtId="0" fontId="7" fillId="2" borderId="1" xfId="6" applyFont="1" applyFill="1" applyBorder="1" applyAlignment="1">
      <alignment horizontal="center" vertical="center" wrapText="1"/>
    </xf>
    <xf numFmtId="0" fontId="0" fillId="4" borderId="0" xfId="0" applyFill="1"/>
  </cellXfs>
  <cellStyles count="13">
    <cellStyle name="Comma 2" xfId="9" xr:uid="{8978D5A6-8D99-4534-80D0-69E1B1B3A9EC}"/>
    <cellStyle name="Comma 3" xfId="8" xr:uid="{F5406B42-2BFF-451D-9322-60A67E7838AA}"/>
    <cellStyle name="Comma 4" xfId="5" xr:uid="{C0B1CF80-2A33-42B8-AA40-25CF3E393D06}"/>
    <cellStyle name="Normal" xfId="0" builtinId="0"/>
    <cellStyle name="Normal 2" xfId="2" xr:uid="{562016CD-1F94-43B0-AFE3-6F88BE2B26A4}"/>
    <cellStyle name="Normal 2 2" xfId="6" xr:uid="{191322C5-7A2C-4C98-857E-0E1B30E13C57}"/>
    <cellStyle name="Normal 3" xfId="3" xr:uid="{191BB759-F086-4370-BC55-4DEEEA2C4802}"/>
    <cellStyle name="Normal 4" xfId="10" xr:uid="{5AFE5686-9E7E-4244-A68B-539FE55411A2}"/>
    <cellStyle name="Normal 4 2" xfId="11" xr:uid="{B735CC52-5ADC-47B7-A0A4-C01C040BCA2A}"/>
    <cellStyle name="Normal 5" xfId="1" xr:uid="{B529ACCC-F0B5-44EB-983A-8BA709B8EA87}"/>
    <cellStyle name="Normal 6" xfId="12" xr:uid="{6E00F76E-2CE6-4B9C-8109-ACEEB7DCA6E7}"/>
    <cellStyle name="Normal 9" xfId="7" xr:uid="{D41B1BB2-A381-42E9-A390-7F11A1AB2704}"/>
    <cellStyle name="Percent 2" xfId="4" xr:uid="{B7721735-EBEB-46E3-9500-7B446A68D7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B0A49D-E13F-4274-B399-675490A4ED7F}">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DCBE-12F2-42FE-B14B-D670F44BA1F7}">
  <dimension ref="A1:C34"/>
  <sheetViews>
    <sheetView workbookViewId="0"/>
  </sheetViews>
  <sheetFormatPr defaultRowHeight="14.4" x14ac:dyDescent="0.3"/>
  <cols>
    <col min="1" max="3" width="36.77734375" customWidth="1"/>
  </cols>
  <sheetData>
    <row r="1" spans="1:3" x14ac:dyDescent="0.3">
      <c r="A1" s="13" t="s">
        <v>15</v>
      </c>
    </row>
    <row r="3" spans="1:3" x14ac:dyDescent="0.3">
      <c r="A3" t="s">
        <v>16</v>
      </c>
      <c r="B3" t="s">
        <v>17</v>
      </c>
      <c r="C3">
        <v>0</v>
      </c>
    </row>
    <row r="4" spans="1:3" x14ac:dyDescent="0.3">
      <c r="A4" t="s">
        <v>18</v>
      </c>
    </row>
    <row r="5" spans="1:3" x14ac:dyDescent="0.3">
      <c r="A5" t="s">
        <v>19</v>
      </c>
    </row>
    <row r="7" spans="1:3" x14ac:dyDescent="0.3">
      <c r="A7" s="13" t="s">
        <v>20</v>
      </c>
      <c r="B7" t="s">
        <v>21</v>
      </c>
    </row>
    <row r="8" spans="1:3" x14ac:dyDescent="0.3">
      <c r="B8">
        <v>3</v>
      </c>
    </row>
    <row r="10" spans="1:3" x14ac:dyDescent="0.3">
      <c r="A10" t="s">
        <v>22</v>
      </c>
    </row>
    <row r="11" spans="1:3" x14ac:dyDescent="0.3">
      <c r="A11" t="e">
        <f>CB_DATA_!#REF!</f>
        <v>#REF!</v>
      </c>
      <c r="B11" t="e">
        <f>CB_Batch_Fit!#REF!</f>
        <v>#REF!</v>
      </c>
      <c r="C11" t="e">
        <f>'Micro-Movement'!#REF!</f>
        <v>#REF!</v>
      </c>
    </row>
    <row r="13" spans="1:3" x14ac:dyDescent="0.3">
      <c r="A13" t="s">
        <v>23</v>
      </c>
    </row>
    <row r="14" spans="1:3" x14ac:dyDescent="0.3">
      <c r="A14" t="s">
        <v>27</v>
      </c>
      <c r="B14" t="s">
        <v>31</v>
      </c>
      <c r="C14" t="s">
        <v>61</v>
      </c>
    </row>
    <row r="16" spans="1:3" x14ac:dyDescent="0.3">
      <c r="A16" t="s">
        <v>24</v>
      </c>
    </row>
    <row r="19" spans="1:3" x14ac:dyDescent="0.3">
      <c r="A19" t="s">
        <v>25</v>
      </c>
    </row>
    <row r="20" spans="1:3" x14ac:dyDescent="0.3">
      <c r="A20">
        <v>28</v>
      </c>
      <c r="B20">
        <v>31</v>
      </c>
      <c r="C20">
        <v>34</v>
      </c>
    </row>
    <row r="25" spans="1:3" x14ac:dyDescent="0.3">
      <c r="A25" s="13" t="s">
        <v>26</v>
      </c>
    </row>
    <row r="26" spans="1:3" x14ac:dyDescent="0.3">
      <c r="A26" s="16" t="s">
        <v>28</v>
      </c>
      <c r="B26" s="16" t="s">
        <v>32</v>
      </c>
      <c r="C26" s="16" t="s">
        <v>32</v>
      </c>
    </row>
    <row r="27" spans="1:3" x14ac:dyDescent="0.3">
      <c r="A27" t="s">
        <v>29</v>
      </c>
      <c r="B27" t="s">
        <v>71</v>
      </c>
      <c r="C27" t="s">
        <v>70</v>
      </c>
    </row>
    <row r="28" spans="1:3" x14ac:dyDescent="0.3">
      <c r="A28" s="16" t="s">
        <v>30</v>
      </c>
      <c r="B28" s="16" t="s">
        <v>30</v>
      </c>
      <c r="C28" s="16" t="s">
        <v>30</v>
      </c>
    </row>
    <row r="29" spans="1:3" x14ac:dyDescent="0.3">
      <c r="B29" s="16" t="s">
        <v>28</v>
      </c>
      <c r="C29" s="16" t="s">
        <v>28</v>
      </c>
    </row>
    <row r="30" spans="1:3" x14ac:dyDescent="0.3">
      <c r="B30" t="s">
        <v>34</v>
      </c>
      <c r="C30" t="s">
        <v>63</v>
      </c>
    </row>
    <row r="31" spans="1:3" x14ac:dyDescent="0.3">
      <c r="B31" s="16" t="s">
        <v>30</v>
      </c>
      <c r="C31" s="16" t="s">
        <v>30</v>
      </c>
    </row>
    <row r="32" spans="1:3" x14ac:dyDescent="0.3">
      <c r="C32" s="16" t="s">
        <v>68</v>
      </c>
    </row>
    <row r="33" spans="3:3" x14ac:dyDescent="0.3">
      <c r="C33" t="s">
        <v>69</v>
      </c>
    </row>
    <row r="34" spans="3:3" x14ac:dyDescent="0.3">
      <c r="C34" s="1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A3F2-7417-45FF-A805-03E6E29B932B}">
  <dimension ref="A1:T26"/>
  <sheetViews>
    <sheetView showGridLines="0" workbookViewId="0">
      <pane ySplit="1" topLeftCell="A2" activePane="bottomLeft" state="frozen"/>
      <selection pane="bottomLeft" activeCell="B30" sqref="B30"/>
    </sheetView>
  </sheetViews>
  <sheetFormatPr defaultRowHeight="14.4" x14ac:dyDescent="0.3"/>
  <cols>
    <col min="1" max="1" width="29.77734375" bestFit="1" customWidth="1"/>
    <col min="2" max="2" width="20.6640625" bestFit="1" customWidth="1"/>
    <col min="3" max="3" width="20.88671875" bestFit="1" customWidth="1"/>
    <col min="4" max="4" width="21.77734375" bestFit="1" customWidth="1"/>
    <col min="5" max="5" width="34" bestFit="1" customWidth="1"/>
    <col min="6" max="6" width="41.44140625" bestFit="1" customWidth="1"/>
    <col min="7" max="7" width="21.44140625" bestFit="1" customWidth="1"/>
    <col min="8" max="8" width="25.44140625" bestFit="1" customWidth="1"/>
    <col min="11" max="11" width="10.88671875" bestFit="1" customWidth="1"/>
    <col min="12" max="12" width="5.5546875" bestFit="1" customWidth="1"/>
    <col min="13" max="13" width="34.33203125" bestFit="1" customWidth="1"/>
    <col min="14" max="14" width="8" bestFit="1" customWidth="1"/>
    <col min="15" max="16" width="12" bestFit="1" customWidth="1"/>
    <col min="17" max="17" width="6" bestFit="1" customWidth="1"/>
    <col min="18" max="18" width="8" bestFit="1" customWidth="1"/>
    <col min="19" max="19" width="7.109375" bestFit="1" customWidth="1"/>
    <col min="20" max="20" width="5.88671875" bestFit="1" customWidth="1"/>
  </cols>
  <sheetData>
    <row r="1" spans="1:20" ht="15.6" x14ac:dyDescent="0.3">
      <c r="A1" s="18" t="s">
        <v>0</v>
      </c>
      <c r="B1" s="19" t="s">
        <v>1</v>
      </c>
      <c r="C1" s="18" t="s">
        <v>2</v>
      </c>
      <c r="D1" s="19" t="s">
        <v>3</v>
      </c>
      <c r="E1" s="18" t="s">
        <v>4</v>
      </c>
      <c r="F1" s="18" t="s">
        <v>5</v>
      </c>
      <c r="G1" s="18" t="s">
        <v>6</v>
      </c>
      <c r="H1" s="18" t="s">
        <v>7</v>
      </c>
      <c r="I1" s="11"/>
      <c r="J1" s="11"/>
      <c r="K1" s="9"/>
      <c r="L1" s="9"/>
      <c r="M1" s="9"/>
      <c r="N1" s="9"/>
      <c r="O1" s="9"/>
      <c r="P1" s="9"/>
      <c r="Q1" s="9"/>
      <c r="R1" s="9"/>
      <c r="S1" s="9"/>
      <c r="T1" s="9"/>
    </row>
    <row r="2" spans="1:20" x14ac:dyDescent="0.3">
      <c r="A2" s="10">
        <v>22.672000000000001</v>
      </c>
      <c r="B2" s="10">
        <v>14.0816</v>
      </c>
      <c r="C2" s="10">
        <v>12.22</v>
      </c>
      <c r="D2" s="10">
        <v>12.7712</v>
      </c>
      <c r="E2" s="10">
        <v>18.896799999999999</v>
      </c>
      <c r="F2" s="10">
        <v>22.588799999999999</v>
      </c>
      <c r="G2" s="10">
        <v>12.043200000000001</v>
      </c>
      <c r="H2" s="10">
        <v>13.166399999999999</v>
      </c>
      <c r="I2" s="11"/>
      <c r="J2" s="11"/>
      <c r="K2" s="11"/>
      <c r="L2" s="11"/>
      <c r="M2" s="11"/>
      <c r="N2" s="11"/>
      <c r="O2" s="11"/>
      <c r="P2" s="11"/>
      <c r="Q2" s="11"/>
      <c r="R2" s="11"/>
      <c r="S2" s="11"/>
      <c r="T2" s="11"/>
    </row>
    <row r="3" spans="1:20" x14ac:dyDescent="0.3">
      <c r="A3" s="10">
        <v>21.8</v>
      </c>
      <c r="B3" s="10">
        <v>13.54</v>
      </c>
      <c r="C3" s="10">
        <v>11.75</v>
      </c>
      <c r="D3" s="10">
        <v>12.28</v>
      </c>
      <c r="E3" s="10">
        <v>18.170000000000002</v>
      </c>
      <c r="F3" s="10">
        <v>21.72</v>
      </c>
      <c r="G3" s="10">
        <v>11.58</v>
      </c>
      <c r="H3" s="10">
        <v>12.66</v>
      </c>
      <c r="I3" s="11"/>
      <c r="J3" s="11"/>
      <c r="K3" s="11"/>
      <c r="L3" s="11"/>
      <c r="M3" s="11"/>
      <c r="N3" s="11"/>
      <c r="O3" s="11"/>
      <c r="P3" s="11"/>
      <c r="Q3" s="11"/>
      <c r="R3" s="11"/>
      <c r="S3" s="11"/>
      <c r="T3" s="11"/>
    </row>
    <row r="4" spans="1:20" x14ac:dyDescent="0.3">
      <c r="A4" s="10">
        <v>21.31</v>
      </c>
      <c r="B4" s="10">
        <v>14.7</v>
      </c>
      <c r="C4" s="10">
        <v>11.75</v>
      </c>
      <c r="D4" s="10">
        <v>13.06</v>
      </c>
      <c r="E4" s="10">
        <v>18.3</v>
      </c>
      <c r="F4" s="10">
        <v>23.64</v>
      </c>
      <c r="G4" s="10">
        <v>11.18</v>
      </c>
      <c r="H4" s="10">
        <v>12.25</v>
      </c>
      <c r="I4" s="11"/>
      <c r="J4" s="11"/>
      <c r="K4" s="11"/>
      <c r="L4" s="11"/>
      <c r="M4" s="11"/>
      <c r="N4" s="11"/>
      <c r="O4" s="11"/>
      <c r="P4" s="11"/>
      <c r="Q4" s="11"/>
      <c r="R4" s="11"/>
      <c r="S4" s="11"/>
      <c r="T4" s="11"/>
    </row>
    <row r="5" spans="1:20" x14ac:dyDescent="0.3">
      <c r="A5" s="10">
        <v>22.02</v>
      </c>
      <c r="B5" s="10">
        <v>14.09</v>
      </c>
      <c r="C5" s="10">
        <v>11.75</v>
      </c>
      <c r="D5" s="10">
        <v>12.43</v>
      </c>
      <c r="E5" s="10">
        <v>17.850000000000001</v>
      </c>
      <c r="F5" s="10">
        <v>20.5</v>
      </c>
      <c r="G5" s="10">
        <v>9.48</v>
      </c>
      <c r="H5" s="10">
        <v>13.05</v>
      </c>
      <c r="I5" s="11"/>
      <c r="J5" s="11"/>
      <c r="K5" s="11"/>
      <c r="L5" s="11"/>
      <c r="M5" s="11"/>
      <c r="N5" s="11"/>
      <c r="O5" s="11"/>
      <c r="P5" s="11"/>
      <c r="Q5" s="11"/>
      <c r="R5" s="11"/>
      <c r="S5" s="11"/>
      <c r="T5" s="11"/>
    </row>
    <row r="6" spans="1:20" x14ac:dyDescent="0.3">
      <c r="A6" s="10">
        <v>21.21</v>
      </c>
      <c r="B6" s="10">
        <v>14.14</v>
      </c>
      <c r="C6" s="10">
        <v>11.75</v>
      </c>
      <c r="D6" s="10">
        <v>11.86</v>
      </c>
      <c r="E6" s="10">
        <v>16.22</v>
      </c>
      <c r="F6" s="10">
        <v>22.1</v>
      </c>
      <c r="G6" s="10">
        <v>11.06</v>
      </c>
      <c r="H6" s="10">
        <v>13.19</v>
      </c>
      <c r="I6" s="11"/>
      <c r="J6" s="11"/>
      <c r="K6" s="11"/>
      <c r="L6" s="11"/>
      <c r="M6" s="11"/>
      <c r="N6" s="11"/>
      <c r="O6" s="11"/>
      <c r="P6" s="11"/>
      <c r="Q6" s="11"/>
      <c r="R6" s="11"/>
      <c r="S6" s="11"/>
      <c r="T6" s="11"/>
    </row>
    <row r="7" spans="1:20" x14ac:dyDescent="0.3">
      <c r="A7" s="10">
        <v>21.85</v>
      </c>
      <c r="B7" s="10">
        <v>13.97</v>
      </c>
      <c r="C7" s="10">
        <v>11.75</v>
      </c>
      <c r="D7" s="10">
        <v>13.34</v>
      </c>
      <c r="E7" s="10">
        <v>18.37</v>
      </c>
      <c r="F7" s="10">
        <v>21.56</v>
      </c>
      <c r="G7" s="10">
        <v>12.51</v>
      </c>
      <c r="H7" s="10">
        <v>13.03</v>
      </c>
      <c r="I7" s="11"/>
      <c r="J7" s="11"/>
      <c r="K7" s="11"/>
      <c r="L7" s="11"/>
      <c r="M7" s="11"/>
      <c r="N7" s="11"/>
      <c r="O7" s="11"/>
      <c r="P7" s="11"/>
      <c r="Q7" s="11"/>
      <c r="R7" s="11"/>
      <c r="S7" s="11"/>
      <c r="T7" s="11"/>
    </row>
    <row r="8" spans="1:20" x14ac:dyDescent="0.3">
      <c r="A8" s="10">
        <v>22.17</v>
      </c>
      <c r="B8" s="10">
        <v>14.12</v>
      </c>
      <c r="C8" s="10">
        <v>11.75</v>
      </c>
      <c r="D8" s="10">
        <v>12.64</v>
      </c>
      <c r="E8" s="10">
        <v>18.739999999999998</v>
      </c>
      <c r="F8" s="10">
        <v>20.21</v>
      </c>
      <c r="G8" s="10">
        <v>11.42</v>
      </c>
      <c r="H8" s="10">
        <v>12.24</v>
      </c>
      <c r="I8" s="11"/>
      <c r="J8" s="11"/>
      <c r="K8" s="11"/>
      <c r="L8" s="11"/>
      <c r="M8" s="11"/>
      <c r="N8" s="11"/>
      <c r="O8" s="11"/>
      <c r="P8" s="11"/>
      <c r="Q8" s="11"/>
      <c r="R8" s="11"/>
      <c r="S8" s="11"/>
      <c r="T8" s="11"/>
    </row>
    <row r="9" spans="1:20" x14ac:dyDescent="0.3">
      <c r="A9" s="10">
        <v>21.95</v>
      </c>
      <c r="B9" s="10">
        <v>12.38</v>
      </c>
      <c r="C9" s="10">
        <v>11.75</v>
      </c>
      <c r="D9" s="10">
        <v>12.8</v>
      </c>
      <c r="E9" s="10">
        <v>18.670000000000002</v>
      </c>
      <c r="F9" s="10">
        <v>19.96</v>
      </c>
      <c r="G9" s="10">
        <v>12.62</v>
      </c>
      <c r="H9" s="10">
        <v>14.32</v>
      </c>
      <c r="I9" s="11"/>
      <c r="J9" s="11"/>
      <c r="K9" s="11"/>
      <c r="L9" s="11"/>
      <c r="M9" s="11"/>
      <c r="N9" s="11"/>
      <c r="O9" s="11"/>
      <c r="P9" s="11"/>
      <c r="Q9" s="11"/>
      <c r="R9" s="11"/>
      <c r="S9" s="11"/>
      <c r="T9" s="11"/>
    </row>
    <row r="10" spans="1:20" x14ac:dyDescent="0.3">
      <c r="A10" s="10">
        <v>21.65</v>
      </c>
      <c r="B10" s="10">
        <v>12.98</v>
      </c>
      <c r="C10" s="10">
        <v>11.75</v>
      </c>
      <c r="D10" s="10">
        <v>12.92</v>
      </c>
      <c r="E10" s="10">
        <v>17.16</v>
      </c>
      <c r="F10" s="10">
        <v>19.7</v>
      </c>
      <c r="G10" s="10">
        <v>12.56</v>
      </c>
      <c r="H10" s="10">
        <v>13.32</v>
      </c>
      <c r="I10" s="11"/>
      <c r="J10" s="11"/>
      <c r="K10" s="11"/>
      <c r="L10" s="11"/>
      <c r="M10" s="11"/>
      <c r="N10" s="11"/>
      <c r="O10" s="11"/>
      <c r="P10" s="11"/>
      <c r="Q10" s="11"/>
      <c r="R10" s="11"/>
      <c r="S10" s="11"/>
      <c r="T10" s="11"/>
    </row>
    <row r="11" spans="1:20" x14ac:dyDescent="0.3">
      <c r="A11" s="10">
        <v>21.86</v>
      </c>
      <c r="B11" s="10">
        <v>13.58</v>
      </c>
      <c r="C11" s="10">
        <v>11.75</v>
      </c>
      <c r="D11" s="10">
        <v>13.36</v>
      </c>
      <c r="E11" s="10">
        <v>17.920000000000002</v>
      </c>
      <c r="F11" s="10">
        <v>21.23</v>
      </c>
      <c r="G11" s="10">
        <v>10.62</v>
      </c>
      <c r="H11" s="10">
        <v>12.92</v>
      </c>
      <c r="I11" s="11"/>
      <c r="J11" s="11"/>
      <c r="K11" s="11"/>
      <c r="L11" s="11"/>
      <c r="M11" s="11"/>
      <c r="N11" s="11"/>
      <c r="O11" s="11"/>
      <c r="P11" s="11"/>
      <c r="Q11" s="11"/>
      <c r="R11" s="11"/>
      <c r="S11" s="11"/>
      <c r="T11" s="11"/>
    </row>
    <row r="12" spans="1:20" x14ac:dyDescent="0.3">
      <c r="A12" s="10">
        <v>22.08</v>
      </c>
      <c r="B12" s="10">
        <v>14.28</v>
      </c>
      <c r="C12" s="10">
        <v>11.75</v>
      </c>
      <c r="D12" s="10">
        <v>11.26</v>
      </c>
      <c r="E12" s="10">
        <v>17.489999999999998</v>
      </c>
      <c r="F12" s="10">
        <v>20.89</v>
      </c>
      <c r="G12" s="10">
        <v>10.75</v>
      </c>
      <c r="H12" s="10">
        <v>13.51</v>
      </c>
      <c r="I12" s="11"/>
      <c r="J12" s="11"/>
      <c r="K12" s="11"/>
      <c r="L12" s="11"/>
      <c r="M12" s="11"/>
      <c r="N12" s="11"/>
      <c r="O12" s="11"/>
      <c r="P12" s="11"/>
      <c r="Q12" s="11"/>
      <c r="R12" s="11"/>
      <c r="S12" s="11"/>
      <c r="T12" s="11"/>
    </row>
    <row r="13" spans="1:20" x14ac:dyDescent="0.3">
      <c r="A13" s="10">
        <v>21.76</v>
      </c>
      <c r="B13" s="10">
        <v>14.48</v>
      </c>
      <c r="C13" s="10">
        <v>11.75</v>
      </c>
      <c r="D13" s="10">
        <v>11.61</v>
      </c>
      <c r="E13" s="10">
        <v>18.260000000000002</v>
      </c>
      <c r="F13" s="10">
        <v>21.13</v>
      </c>
      <c r="G13" s="10">
        <v>11.74</v>
      </c>
      <c r="H13" s="10">
        <v>13.16</v>
      </c>
      <c r="I13" s="11"/>
      <c r="J13" s="11"/>
      <c r="K13" s="11"/>
      <c r="L13" s="11"/>
      <c r="M13" s="11"/>
      <c r="N13" s="11"/>
      <c r="O13" s="11"/>
      <c r="P13" s="11"/>
      <c r="Q13" s="11"/>
      <c r="R13" s="11"/>
      <c r="S13" s="11"/>
      <c r="T13" s="11"/>
    </row>
    <row r="14" spans="1:20" x14ac:dyDescent="0.3">
      <c r="A14" s="10">
        <v>22.672000000000001</v>
      </c>
      <c r="B14" s="10">
        <v>14.0816</v>
      </c>
      <c r="C14" s="10">
        <v>12.22</v>
      </c>
      <c r="D14" s="10">
        <v>12.7712</v>
      </c>
      <c r="E14" s="10">
        <v>18.896799999999999</v>
      </c>
      <c r="F14" s="10">
        <v>22.588799999999999</v>
      </c>
      <c r="G14" s="10">
        <v>12.043200000000001</v>
      </c>
      <c r="H14" s="10">
        <v>13.166399999999999</v>
      </c>
      <c r="I14" s="11"/>
      <c r="J14" s="11"/>
      <c r="K14" s="11"/>
      <c r="L14" s="11"/>
      <c r="M14" s="11"/>
      <c r="N14" s="11"/>
      <c r="O14" s="11"/>
      <c r="P14" s="11"/>
      <c r="Q14" s="11"/>
      <c r="R14" s="11"/>
      <c r="S14" s="11"/>
      <c r="T14" s="11"/>
    </row>
    <row r="15" spans="1:20" x14ac:dyDescent="0.3">
      <c r="A15" s="10">
        <v>21.8</v>
      </c>
      <c r="B15" s="10">
        <v>13.54</v>
      </c>
      <c r="C15" s="10">
        <v>11.75</v>
      </c>
      <c r="D15" s="10">
        <v>12.28</v>
      </c>
      <c r="E15" s="10">
        <v>18.170000000000002</v>
      </c>
      <c r="F15" s="10">
        <v>21.72</v>
      </c>
      <c r="G15" s="10">
        <v>11.58</v>
      </c>
      <c r="H15" s="10">
        <v>12.66</v>
      </c>
      <c r="I15" s="11"/>
      <c r="J15" s="11"/>
      <c r="K15" s="11"/>
      <c r="L15" s="11"/>
      <c r="M15" s="11"/>
      <c r="N15" s="11"/>
      <c r="O15" s="11"/>
      <c r="P15" s="11"/>
      <c r="Q15" s="11"/>
      <c r="R15" s="11"/>
      <c r="S15" s="11"/>
      <c r="T15" s="11"/>
    </row>
    <row r="16" spans="1:20" x14ac:dyDescent="0.3">
      <c r="A16" s="10">
        <v>21.31</v>
      </c>
      <c r="B16" s="10">
        <v>14.7</v>
      </c>
      <c r="C16" s="10">
        <v>11.75</v>
      </c>
      <c r="D16" s="10">
        <v>13.06</v>
      </c>
      <c r="E16" s="10">
        <v>18.3</v>
      </c>
      <c r="F16" s="10">
        <v>23.64</v>
      </c>
      <c r="G16" s="10">
        <v>11.18</v>
      </c>
      <c r="H16" s="10">
        <v>12.25</v>
      </c>
      <c r="I16" s="11"/>
      <c r="J16" s="11"/>
      <c r="K16" s="11"/>
      <c r="L16" s="11"/>
      <c r="M16" s="11"/>
      <c r="N16" s="11"/>
      <c r="O16" s="11"/>
      <c r="P16" s="11"/>
      <c r="Q16" s="11"/>
      <c r="R16" s="11"/>
      <c r="S16" s="11"/>
      <c r="T16" s="11"/>
    </row>
    <row r="17" spans="1:20" s="23" customFormat="1" x14ac:dyDescent="0.3">
      <c r="A17" s="15" t="s">
        <v>8</v>
      </c>
      <c r="B17" s="15" t="s">
        <v>9</v>
      </c>
      <c r="C17" s="15" t="s">
        <v>10</v>
      </c>
      <c r="D17" s="15" t="s">
        <v>11</v>
      </c>
      <c r="E17" s="15" t="s">
        <v>12</v>
      </c>
      <c r="F17" s="15" t="s">
        <v>37</v>
      </c>
      <c r="G17" s="22"/>
      <c r="H17" s="22"/>
      <c r="I17" s="22"/>
      <c r="J17" s="22"/>
      <c r="K17" s="22"/>
      <c r="L17" s="22"/>
      <c r="M17" s="22"/>
      <c r="N17" s="22"/>
      <c r="O17" s="22"/>
      <c r="P17" s="22"/>
      <c r="Q17" s="22"/>
      <c r="R17" s="22"/>
      <c r="S17" s="22"/>
      <c r="T17" s="22"/>
    </row>
    <row r="18" spans="1:20" x14ac:dyDescent="0.3">
      <c r="A18" s="24" t="s">
        <v>0</v>
      </c>
      <c r="B18" s="25">
        <v>9.0000000000000005E+307</v>
      </c>
      <c r="C18" s="24" t="s">
        <v>13</v>
      </c>
      <c r="D18" s="26">
        <v>0.35655864142153604</v>
      </c>
      <c r="E18" s="12" t="s">
        <v>14</v>
      </c>
      <c r="F18" s="32">
        <f>28800/B18</f>
        <v>3.2E-304</v>
      </c>
      <c r="G18" s="11"/>
      <c r="H18" s="11"/>
      <c r="I18" s="11"/>
      <c r="J18" s="11"/>
      <c r="K18" s="11"/>
      <c r="L18" s="11"/>
      <c r="M18" s="11"/>
      <c r="N18" s="11"/>
      <c r="O18" s="11"/>
      <c r="P18" s="11"/>
      <c r="Q18" s="11"/>
      <c r="R18" s="11"/>
      <c r="S18" s="11"/>
      <c r="T18" s="11"/>
    </row>
    <row r="19" spans="1:20" x14ac:dyDescent="0.3">
      <c r="A19" s="24" t="s">
        <v>1</v>
      </c>
      <c r="B19" s="25">
        <v>13.917834939869595</v>
      </c>
      <c r="C19" s="24" t="s">
        <v>33</v>
      </c>
      <c r="D19" s="26">
        <v>0.35385863402422935</v>
      </c>
      <c r="E19" s="27">
        <v>0.46124504921810328</v>
      </c>
      <c r="F19" s="32">
        <f t="shared" ref="F19:F25" si="0">28800/B19</f>
        <v>2069.2873657739933</v>
      </c>
      <c r="G19" s="11"/>
      <c r="H19" s="11"/>
      <c r="I19" s="11"/>
      <c r="J19" s="11"/>
      <c r="K19" s="11"/>
      <c r="L19" s="11"/>
      <c r="M19" s="11"/>
      <c r="N19" s="11"/>
      <c r="O19" s="11"/>
      <c r="P19" s="11"/>
      <c r="Q19" s="11"/>
      <c r="R19" s="11"/>
      <c r="S19" s="11"/>
      <c r="T19" s="11"/>
    </row>
    <row r="20" spans="1:20" x14ac:dyDescent="0.3">
      <c r="A20" s="28" t="s">
        <v>2</v>
      </c>
      <c r="B20" s="29">
        <v>11.783713052463565</v>
      </c>
      <c r="C20" s="28" t="s">
        <v>33</v>
      </c>
      <c r="D20" s="30">
        <v>4.1575304722207527</v>
      </c>
      <c r="E20" s="31">
        <v>0</v>
      </c>
      <c r="F20" s="32">
        <f t="shared" si="0"/>
        <v>2444.0513674914141</v>
      </c>
    </row>
    <row r="21" spans="1:20" x14ac:dyDescent="0.3">
      <c r="A21" s="28" t="s">
        <v>3</v>
      </c>
      <c r="B21" s="29">
        <v>12.568937500397293</v>
      </c>
      <c r="C21" s="28" t="s">
        <v>33</v>
      </c>
      <c r="D21" s="30">
        <v>0.20056629904804169</v>
      </c>
      <c r="E21" s="31">
        <v>0.8722283773334859</v>
      </c>
      <c r="F21" s="32">
        <f t="shared" si="0"/>
        <v>2291.3631322527986</v>
      </c>
    </row>
    <row r="22" spans="1:20" x14ac:dyDescent="0.3">
      <c r="A22" s="28" t="s">
        <v>4</v>
      </c>
      <c r="B22" s="29">
        <v>18.111500923272487</v>
      </c>
      <c r="C22" s="28" t="s">
        <v>33</v>
      </c>
      <c r="D22" s="30">
        <v>0.28474915081884156</v>
      </c>
      <c r="E22" s="31">
        <v>0.63861748059349122</v>
      </c>
      <c r="F22" s="32">
        <f t="shared" si="0"/>
        <v>1590.1498236953548</v>
      </c>
    </row>
    <row r="23" spans="1:20" x14ac:dyDescent="0.3">
      <c r="A23" s="28" t="s">
        <v>5</v>
      </c>
      <c r="B23" s="29">
        <v>21.55436757017889</v>
      </c>
      <c r="C23" s="28" t="s">
        <v>35</v>
      </c>
      <c r="D23" s="30">
        <v>0.16033207826818163</v>
      </c>
      <c r="E23" s="31">
        <v>0.85938824450604656</v>
      </c>
      <c r="F23" s="32">
        <f t="shared" si="0"/>
        <v>1336.1561134294498</v>
      </c>
    </row>
    <row r="24" spans="1:20" x14ac:dyDescent="0.3">
      <c r="A24" s="28" t="s">
        <v>6</v>
      </c>
      <c r="B24" s="29">
        <v>11.528278823529412</v>
      </c>
      <c r="C24" s="28" t="s">
        <v>36</v>
      </c>
      <c r="D24" s="30">
        <v>0.2088505978091284</v>
      </c>
      <c r="E24" s="31">
        <v>0.81146031548216069</v>
      </c>
      <c r="F24" s="32">
        <f t="shared" si="0"/>
        <v>2498.2046705201747</v>
      </c>
    </row>
    <row r="25" spans="1:20" x14ac:dyDescent="0.3">
      <c r="A25" s="28" t="s">
        <v>7</v>
      </c>
      <c r="B25" s="29">
        <v>12.983111764705882</v>
      </c>
      <c r="C25" s="28" t="s">
        <v>36</v>
      </c>
      <c r="D25" s="30">
        <v>0.44252916961466759</v>
      </c>
      <c r="E25" s="31">
        <v>0.22012996611294133</v>
      </c>
      <c r="F25" s="32">
        <f t="shared" si="0"/>
        <v>2218.2663541641655</v>
      </c>
    </row>
    <row r="26" spans="1:20" x14ac:dyDescent="0.3">
      <c r="E26" t="s">
        <v>38</v>
      </c>
      <c r="F26" s="34">
        <f>28800/MAX(B18:B25)</f>
        <v>3.2E-304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753D-B08B-4CF0-A2D6-5607463D999F}">
  <dimension ref="A1:Z35"/>
  <sheetViews>
    <sheetView tabSelected="1" topLeftCell="B1" zoomScale="70" zoomScaleNormal="70" workbookViewId="0">
      <selection activeCell="Z10" sqref="Z10"/>
    </sheetView>
  </sheetViews>
  <sheetFormatPr defaultRowHeight="14.4" x14ac:dyDescent="0.3"/>
  <cols>
    <col min="1" max="1" width="50" bestFit="1" customWidth="1"/>
    <col min="18" max="18" width="43.88671875" bestFit="1" customWidth="1"/>
    <col min="19" max="19" width="11.5546875" bestFit="1" customWidth="1"/>
    <col min="20" max="20" width="11.109375" bestFit="1" customWidth="1"/>
    <col min="21" max="21" width="16.109375" bestFit="1" customWidth="1"/>
    <col min="22" max="22" width="8.21875" bestFit="1" customWidth="1"/>
  </cols>
  <sheetData>
    <row r="1" spans="1:26" ht="15.6" x14ac:dyDescent="0.3">
      <c r="A1" s="36" t="s">
        <v>39</v>
      </c>
      <c r="B1" s="37">
        <v>7.68</v>
      </c>
      <c r="C1" s="37">
        <v>7.38</v>
      </c>
      <c r="D1" s="37">
        <v>7.53</v>
      </c>
      <c r="E1" s="37">
        <v>7.69</v>
      </c>
      <c r="F1" s="37">
        <v>7.78</v>
      </c>
      <c r="G1" s="37">
        <v>7.76</v>
      </c>
      <c r="H1" s="37">
        <v>7.69</v>
      </c>
      <c r="I1" s="37">
        <v>7.74</v>
      </c>
      <c r="J1" s="37">
        <v>7.86</v>
      </c>
      <c r="K1" s="37">
        <v>7.28</v>
      </c>
      <c r="L1" s="37">
        <v>7.68</v>
      </c>
      <c r="M1" s="37">
        <v>7.38</v>
      </c>
      <c r="N1" s="37">
        <v>7.53</v>
      </c>
      <c r="O1" s="37">
        <v>7.69</v>
      </c>
      <c r="P1" s="37">
        <v>7.78</v>
      </c>
      <c r="Q1" s="37">
        <v>7.76</v>
      </c>
      <c r="R1" s="13" t="s">
        <v>8</v>
      </c>
      <c r="S1" s="13" t="s">
        <v>9</v>
      </c>
      <c r="T1" s="13" t="s">
        <v>10</v>
      </c>
      <c r="U1" s="13" t="s">
        <v>11</v>
      </c>
      <c r="V1" s="13" t="s">
        <v>12</v>
      </c>
    </row>
    <row r="2" spans="1:26" ht="15.6" x14ac:dyDescent="0.3">
      <c r="A2" s="38" t="s">
        <v>40</v>
      </c>
      <c r="B2" s="37">
        <v>4.8600000000000003</v>
      </c>
      <c r="C2" s="37">
        <v>3.5</v>
      </c>
      <c r="D2" s="37">
        <v>3.61</v>
      </c>
      <c r="E2" s="37">
        <v>3.85</v>
      </c>
      <c r="F2" s="37">
        <v>3.61</v>
      </c>
      <c r="G2" s="37">
        <v>4.63</v>
      </c>
      <c r="H2" s="37">
        <v>2.99</v>
      </c>
      <c r="I2" s="37">
        <v>5.68</v>
      </c>
      <c r="J2" s="37">
        <v>5.37</v>
      </c>
      <c r="K2" s="37">
        <v>5.89</v>
      </c>
      <c r="L2" s="37">
        <v>4.8600000000000003</v>
      </c>
      <c r="M2" s="37">
        <v>3.5</v>
      </c>
      <c r="N2" s="37">
        <v>3.61</v>
      </c>
      <c r="O2" s="37">
        <v>3.85</v>
      </c>
      <c r="P2" s="37">
        <v>3.61</v>
      </c>
      <c r="Q2" s="37">
        <v>4.63</v>
      </c>
      <c r="R2" s="14" t="s">
        <v>39</v>
      </c>
      <c r="S2" s="21">
        <v>7.6431020420844771</v>
      </c>
      <c r="T2" s="14" t="s">
        <v>33</v>
      </c>
      <c r="U2" s="17">
        <v>0.58924962037646367</v>
      </c>
      <c r="V2" s="20">
        <v>0.12262259546820919</v>
      </c>
    </row>
    <row r="3" spans="1:26" ht="15.6" x14ac:dyDescent="0.3">
      <c r="A3" s="38" t="s">
        <v>41</v>
      </c>
      <c r="B3" s="37">
        <v>1.44</v>
      </c>
      <c r="C3" s="37">
        <v>1.44</v>
      </c>
      <c r="D3" s="37">
        <v>1.4</v>
      </c>
      <c r="E3" s="37">
        <v>1.42</v>
      </c>
      <c r="F3" s="37">
        <v>1.38</v>
      </c>
      <c r="G3" s="37">
        <v>1.36</v>
      </c>
      <c r="H3" s="37">
        <v>1.39</v>
      </c>
      <c r="I3" s="37">
        <v>1.38</v>
      </c>
      <c r="J3" s="37">
        <v>1.37</v>
      </c>
      <c r="K3" s="37">
        <v>1.42</v>
      </c>
      <c r="L3" s="37">
        <v>1.44</v>
      </c>
      <c r="M3" s="37">
        <v>1.44</v>
      </c>
      <c r="N3" s="37">
        <v>1.4</v>
      </c>
      <c r="O3" s="37">
        <v>1.42</v>
      </c>
      <c r="P3" s="37">
        <v>1.38</v>
      </c>
      <c r="Q3" s="37">
        <v>1.36</v>
      </c>
      <c r="R3" s="14" t="s">
        <v>40</v>
      </c>
      <c r="S3" s="21">
        <v>4.2901442428030956</v>
      </c>
      <c r="T3" s="14" t="s">
        <v>62</v>
      </c>
      <c r="U3" s="17">
        <v>0.53136968464286127</v>
      </c>
      <c r="V3" t="s">
        <v>14</v>
      </c>
    </row>
    <row r="4" spans="1:26" ht="15.6" x14ac:dyDescent="0.3">
      <c r="A4" s="38" t="s">
        <v>42</v>
      </c>
      <c r="B4" s="37">
        <v>3.76</v>
      </c>
      <c r="C4" s="37">
        <v>3.79</v>
      </c>
      <c r="D4" s="37">
        <v>3.8</v>
      </c>
      <c r="E4" s="37">
        <v>3.88</v>
      </c>
      <c r="F4" s="37">
        <v>3.93</v>
      </c>
      <c r="G4" s="37">
        <v>3.88</v>
      </c>
      <c r="H4" s="37">
        <v>3.86</v>
      </c>
      <c r="I4" s="37">
        <v>3.93</v>
      </c>
      <c r="J4" s="37">
        <v>3.72</v>
      </c>
      <c r="K4" s="37">
        <v>3.84</v>
      </c>
      <c r="L4" s="37">
        <v>3.76</v>
      </c>
      <c r="M4" s="37">
        <v>3.79</v>
      </c>
      <c r="N4" s="37">
        <v>3.8</v>
      </c>
      <c r="O4" s="37">
        <v>3.88</v>
      </c>
      <c r="P4" s="37">
        <v>3.93</v>
      </c>
      <c r="Q4" s="37">
        <v>3.88</v>
      </c>
      <c r="R4" s="14" t="s">
        <v>41</v>
      </c>
      <c r="S4" s="21">
        <v>1.4030786124174401</v>
      </c>
      <c r="T4" s="14" t="s">
        <v>64</v>
      </c>
      <c r="U4" s="17">
        <v>0.52178644996168444</v>
      </c>
      <c r="V4" s="20">
        <v>7.1216499153297308E-2</v>
      </c>
    </row>
    <row r="5" spans="1:26" ht="15.6" x14ac:dyDescent="0.3">
      <c r="A5" s="40"/>
      <c r="B5" s="5"/>
      <c r="C5" s="6"/>
      <c r="D5" s="6"/>
      <c r="E5" s="6"/>
      <c r="F5" s="6"/>
      <c r="G5" s="6"/>
      <c r="H5" s="6"/>
      <c r="I5" s="6"/>
      <c r="J5" s="6"/>
      <c r="K5" s="6"/>
      <c r="R5" s="14" t="s">
        <v>42</v>
      </c>
      <c r="S5" s="21">
        <v>3.839375</v>
      </c>
      <c r="T5" s="14" t="s">
        <v>65</v>
      </c>
      <c r="U5" s="17">
        <v>0.38546309497452569</v>
      </c>
      <c r="V5" t="s">
        <v>14</v>
      </c>
      <c r="W5" s="33">
        <f>SUM(S2:S5)</f>
        <v>17.175699897305012</v>
      </c>
    </row>
    <row r="6" spans="1:26" ht="15.6" x14ac:dyDescent="0.3">
      <c r="A6" s="40"/>
      <c r="B6" s="7"/>
      <c r="C6" s="8"/>
      <c r="D6" s="8"/>
      <c r="E6" s="8"/>
      <c r="F6" s="8"/>
      <c r="G6" s="8"/>
      <c r="H6" s="8"/>
      <c r="I6" s="8"/>
      <c r="J6" s="8"/>
      <c r="K6" s="8"/>
    </row>
    <row r="7" spans="1:26" ht="15.6" x14ac:dyDescent="0.3">
      <c r="A7" s="39" t="s">
        <v>43</v>
      </c>
      <c r="B7" s="37">
        <v>5.39</v>
      </c>
      <c r="C7" s="37">
        <v>5.2</v>
      </c>
      <c r="D7" s="37">
        <v>5.42</v>
      </c>
      <c r="E7" s="37">
        <v>5.36</v>
      </c>
      <c r="F7" s="37">
        <v>4.8</v>
      </c>
      <c r="G7" s="37">
        <v>5.76</v>
      </c>
      <c r="H7" s="37">
        <v>6.38</v>
      </c>
      <c r="I7" s="37">
        <v>3.87</v>
      </c>
      <c r="J7" s="37">
        <v>3.84</v>
      </c>
      <c r="K7" s="37">
        <v>5.55</v>
      </c>
      <c r="L7" s="37">
        <v>5.39</v>
      </c>
      <c r="M7" s="37">
        <v>5.2</v>
      </c>
      <c r="N7" s="37">
        <v>5.42</v>
      </c>
      <c r="O7" s="37">
        <v>5.36</v>
      </c>
      <c r="P7" s="37">
        <v>4.8</v>
      </c>
      <c r="Q7" s="37">
        <v>5.76</v>
      </c>
      <c r="R7" s="13" t="s">
        <v>8</v>
      </c>
      <c r="S7" s="13" t="s">
        <v>9</v>
      </c>
      <c r="T7" s="13" t="s">
        <v>10</v>
      </c>
      <c r="U7" s="13" t="s">
        <v>11</v>
      </c>
      <c r="V7" s="13" t="s">
        <v>12</v>
      </c>
    </row>
    <row r="8" spans="1:26" ht="15.6" x14ac:dyDescent="0.3">
      <c r="A8" s="38" t="s">
        <v>44</v>
      </c>
      <c r="B8" s="37">
        <v>4.21</v>
      </c>
      <c r="C8" s="37">
        <v>4.0599999999999996</v>
      </c>
      <c r="D8" s="37">
        <v>3.47</v>
      </c>
      <c r="E8" s="37">
        <v>4.3099999999999996</v>
      </c>
      <c r="F8" s="37">
        <v>3.49</v>
      </c>
      <c r="G8" s="37">
        <v>4.33</v>
      </c>
      <c r="H8" s="37">
        <v>3.74</v>
      </c>
      <c r="I8" s="37">
        <v>3.8</v>
      </c>
      <c r="J8" s="37">
        <v>4.67</v>
      </c>
      <c r="K8" s="37">
        <v>3.58</v>
      </c>
      <c r="L8" s="37">
        <v>4.21</v>
      </c>
      <c r="M8" s="37">
        <v>4.0599999999999996</v>
      </c>
      <c r="N8" s="37">
        <v>3.47</v>
      </c>
      <c r="O8" s="37">
        <v>4.3099999999999996</v>
      </c>
      <c r="P8" s="37">
        <v>3.49</v>
      </c>
      <c r="Q8" s="37">
        <v>4.33</v>
      </c>
      <c r="R8" s="14" t="s">
        <v>43</v>
      </c>
      <c r="S8" s="21">
        <v>5.1995725996493833</v>
      </c>
      <c r="T8" s="14" t="s">
        <v>33</v>
      </c>
      <c r="U8" s="17">
        <v>0.69153994457007073</v>
      </c>
      <c r="V8" s="20">
        <v>6.7680643536211393E-2</v>
      </c>
    </row>
    <row r="9" spans="1:26" ht="15.6" x14ac:dyDescent="0.3">
      <c r="A9" s="38" t="s">
        <v>45</v>
      </c>
      <c r="B9" s="37">
        <v>3.38</v>
      </c>
      <c r="C9" s="37">
        <v>3.72</v>
      </c>
      <c r="D9" s="37">
        <v>5.67</v>
      </c>
      <c r="E9" s="37">
        <v>4.7300000000000004</v>
      </c>
      <c r="F9" s="37">
        <v>5.33</v>
      </c>
      <c r="G9" s="37">
        <v>3.5</v>
      </c>
      <c r="H9" s="37">
        <v>4.71</v>
      </c>
      <c r="I9" s="37">
        <v>5.77</v>
      </c>
      <c r="J9" s="37">
        <v>4.34</v>
      </c>
      <c r="K9" s="37">
        <v>3.99</v>
      </c>
      <c r="L9" s="37">
        <v>3.38</v>
      </c>
      <c r="M9" s="37">
        <v>3.72</v>
      </c>
      <c r="N9" s="37">
        <v>5.67</v>
      </c>
      <c r="O9" s="37">
        <v>4.7300000000000004</v>
      </c>
      <c r="P9" s="37">
        <v>5.33</v>
      </c>
      <c r="Q9" s="37">
        <v>3.5</v>
      </c>
      <c r="R9" s="14" t="s">
        <v>44</v>
      </c>
      <c r="S9" s="21">
        <v>3.9596618953788938</v>
      </c>
      <c r="T9" s="14" t="s">
        <v>33</v>
      </c>
      <c r="U9" s="17">
        <v>0.58977911299784935</v>
      </c>
      <c r="V9" s="20">
        <v>0.12221353429415138</v>
      </c>
    </row>
    <row r="10" spans="1:26" ht="15.6" x14ac:dyDescent="0.3">
      <c r="A10" s="38"/>
      <c r="B10" s="37"/>
      <c r="C10" s="37"/>
      <c r="D10" s="37"/>
      <c r="E10" s="37"/>
      <c r="F10" s="37"/>
      <c r="G10" s="37"/>
      <c r="H10" s="37"/>
      <c r="I10" s="37"/>
      <c r="J10" s="37"/>
      <c r="K10" s="37"/>
      <c r="L10" s="37"/>
      <c r="M10" s="37"/>
      <c r="N10" s="37"/>
      <c r="O10" s="37"/>
      <c r="P10" s="37"/>
      <c r="Q10" s="37"/>
      <c r="R10" s="14" t="s">
        <v>45</v>
      </c>
      <c r="S10" s="21">
        <v>4.4668750000000008</v>
      </c>
      <c r="T10" s="14" t="s">
        <v>65</v>
      </c>
      <c r="U10" s="17">
        <v>0.1914263230662101</v>
      </c>
      <c r="V10" t="s">
        <v>14</v>
      </c>
      <c r="W10" s="33">
        <f>SUM(S8:S10)</f>
        <v>13.626109495028278</v>
      </c>
      <c r="Z10" s="41">
        <f>28800/MAX(W1:W35)</f>
        <v>1114.7601667683145</v>
      </c>
    </row>
    <row r="11" spans="1:26" ht="15.6" x14ac:dyDescent="0.3">
      <c r="A11" s="40"/>
      <c r="B11" s="1"/>
      <c r="C11" s="2"/>
      <c r="D11" s="2"/>
      <c r="E11" s="2"/>
      <c r="F11" s="2"/>
      <c r="G11" s="2"/>
      <c r="H11" s="2"/>
      <c r="I11" s="2"/>
      <c r="J11" s="2"/>
      <c r="K11" s="2"/>
      <c r="L11" s="1"/>
      <c r="M11" s="2"/>
      <c r="N11" s="2"/>
      <c r="O11" s="2"/>
      <c r="P11" s="2"/>
      <c r="Q11" s="2"/>
    </row>
    <row r="12" spans="1:26" ht="15.6" x14ac:dyDescent="0.3">
      <c r="A12" s="40"/>
      <c r="B12" s="3"/>
      <c r="C12" s="4"/>
      <c r="D12" s="4"/>
      <c r="E12" s="4"/>
      <c r="F12" s="4"/>
      <c r="G12" s="4"/>
      <c r="H12" s="4"/>
      <c r="I12" s="4"/>
      <c r="J12" s="4"/>
      <c r="K12" s="4"/>
      <c r="L12" s="3"/>
      <c r="M12" s="4"/>
      <c r="N12" s="4"/>
      <c r="O12" s="4"/>
      <c r="P12" s="4"/>
      <c r="Q12" s="4"/>
    </row>
    <row r="13" spans="1:26" ht="15.6" x14ac:dyDescent="0.3">
      <c r="A13" s="36" t="s">
        <v>46</v>
      </c>
      <c r="B13" s="37">
        <v>9.34</v>
      </c>
      <c r="C13" s="37">
        <v>9.34</v>
      </c>
      <c r="D13" s="37">
        <v>9.34</v>
      </c>
      <c r="E13" s="37">
        <v>9.34</v>
      </c>
      <c r="F13" s="37">
        <v>9.34</v>
      </c>
      <c r="G13" s="37">
        <v>9.34</v>
      </c>
      <c r="H13" s="37">
        <v>9.34</v>
      </c>
      <c r="I13" s="37">
        <v>9.34</v>
      </c>
      <c r="J13" s="37">
        <v>9.34</v>
      </c>
      <c r="K13" s="37">
        <v>9.34</v>
      </c>
      <c r="L13" s="37">
        <v>9.34</v>
      </c>
      <c r="M13" s="37">
        <v>9.34</v>
      </c>
      <c r="N13" s="37">
        <v>9.34</v>
      </c>
      <c r="O13" s="37">
        <v>9.34</v>
      </c>
      <c r="P13" s="37">
        <v>9.34</v>
      </c>
      <c r="Q13" s="37">
        <v>9.34</v>
      </c>
      <c r="R13" s="13" t="s">
        <v>8</v>
      </c>
      <c r="S13" s="13" t="s">
        <v>9</v>
      </c>
      <c r="T13" s="13" t="s">
        <v>10</v>
      </c>
      <c r="U13" s="13" t="s">
        <v>11</v>
      </c>
      <c r="V13" s="13" t="s">
        <v>12</v>
      </c>
    </row>
    <row r="14" spans="1:26" ht="15.6" x14ac:dyDescent="0.3">
      <c r="A14" s="38" t="s">
        <v>47</v>
      </c>
      <c r="B14" s="37">
        <v>4.87</v>
      </c>
      <c r="C14" s="37">
        <v>5.81</v>
      </c>
      <c r="D14" s="37">
        <v>4.6500000000000004</v>
      </c>
      <c r="E14" s="37">
        <v>4.8099999999999996</v>
      </c>
      <c r="F14" s="37">
        <v>6.52</v>
      </c>
      <c r="G14" s="37">
        <v>6.58</v>
      </c>
      <c r="H14" s="37">
        <v>5.18</v>
      </c>
      <c r="I14" s="37">
        <v>5.69</v>
      </c>
      <c r="J14" s="37">
        <v>5.88</v>
      </c>
      <c r="K14" s="37">
        <v>5.81</v>
      </c>
      <c r="L14" s="37">
        <v>4.87</v>
      </c>
      <c r="M14" s="37">
        <v>5.81</v>
      </c>
      <c r="N14" s="37">
        <v>4.6500000000000004</v>
      </c>
      <c r="O14" s="37">
        <v>4.8099999999999996</v>
      </c>
      <c r="P14" s="37">
        <v>6.52</v>
      </c>
      <c r="Q14" s="37">
        <v>6.58</v>
      </c>
      <c r="R14" s="14" t="s">
        <v>46</v>
      </c>
      <c r="S14" s="37">
        <v>9.34</v>
      </c>
      <c r="T14" t="s">
        <v>66</v>
      </c>
      <c r="U14" t="s">
        <v>14</v>
      </c>
      <c r="V14" t="s">
        <v>14</v>
      </c>
    </row>
    <row r="15" spans="1:26" ht="15.6" x14ac:dyDescent="0.3">
      <c r="A15" s="40"/>
      <c r="B15" s="3"/>
      <c r="C15" s="4"/>
      <c r="D15" s="4"/>
      <c r="E15" s="4"/>
      <c r="F15" s="4"/>
      <c r="G15" s="4"/>
      <c r="H15" s="4"/>
      <c r="I15" s="4"/>
      <c r="J15" s="4"/>
      <c r="K15" s="4"/>
      <c r="L15" s="3"/>
      <c r="M15" s="4"/>
      <c r="N15" s="4"/>
      <c r="O15" s="4"/>
      <c r="P15" s="4"/>
      <c r="Q15" s="4"/>
      <c r="R15" s="14" t="s">
        <v>47</v>
      </c>
      <c r="S15" s="21">
        <v>5.5650000000000004</v>
      </c>
      <c r="T15" s="14" t="s">
        <v>65</v>
      </c>
      <c r="U15" s="17">
        <v>0.4199384994650579</v>
      </c>
      <c r="V15" t="s">
        <v>14</v>
      </c>
      <c r="W15" s="35">
        <f>SUM(S14:S15)</f>
        <v>14.905000000000001</v>
      </c>
    </row>
    <row r="16" spans="1:26" ht="15.6" x14ac:dyDescent="0.3">
      <c r="A16" s="38" t="s">
        <v>48</v>
      </c>
      <c r="B16" s="37">
        <v>12.93</v>
      </c>
      <c r="C16" s="37">
        <v>14.04</v>
      </c>
      <c r="D16" s="37">
        <v>14.71</v>
      </c>
      <c r="E16" s="37">
        <v>12.49</v>
      </c>
      <c r="F16" s="37">
        <v>13.45</v>
      </c>
      <c r="G16" s="37">
        <v>11.03</v>
      </c>
      <c r="H16" s="37">
        <v>17.2</v>
      </c>
      <c r="I16" s="37">
        <v>13.89</v>
      </c>
      <c r="J16" s="37">
        <v>14.4</v>
      </c>
      <c r="K16" s="37">
        <v>10.97</v>
      </c>
      <c r="L16" s="37">
        <v>12.93</v>
      </c>
      <c r="M16" s="37">
        <v>14.04</v>
      </c>
      <c r="N16" s="37">
        <v>14.71</v>
      </c>
      <c r="O16" s="37">
        <v>12.49</v>
      </c>
      <c r="P16" s="37">
        <v>13.45</v>
      </c>
      <c r="Q16" s="37">
        <v>11.03</v>
      </c>
      <c r="R16" s="13" t="s">
        <v>8</v>
      </c>
      <c r="S16" s="13" t="s">
        <v>9</v>
      </c>
      <c r="T16" s="13" t="s">
        <v>10</v>
      </c>
      <c r="U16" s="13" t="s">
        <v>11</v>
      </c>
      <c r="V16" s="13" t="s">
        <v>12</v>
      </c>
    </row>
    <row r="17" spans="1:23" ht="15.6" x14ac:dyDescent="0.3">
      <c r="A17" s="40"/>
      <c r="B17" s="1"/>
      <c r="C17" s="2"/>
      <c r="D17" s="2"/>
      <c r="E17" s="2"/>
      <c r="F17" s="2"/>
      <c r="G17" s="2"/>
      <c r="H17" s="2"/>
      <c r="I17" s="2"/>
      <c r="J17" s="2"/>
      <c r="K17" s="2"/>
      <c r="L17" s="1"/>
      <c r="M17" s="2"/>
      <c r="N17" s="2"/>
      <c r="O17" s="2"/>
      <c r="P17" s="2"/>
      <c r="Q17" s="2"/>
      <c r="R17" s="14" t="s">
        <v>48</v>
      </c>
      <c r="S17" s="21">
        <v>13.343504901960785</v>
      </c>
      <c r="T17" s="14" t="s">
        <v>36</v>
      </c>
      <c r="U17" s="17">
        <v>0.31539885476669483</v>
      </c>
      <c r="V17" s="20">
        <v>0.48760335462187199</v>
      </c>
      <c r="W17" s="33">
        <f>S17</f>
        <v>13.343504901960785</v>
      </c>
    </row>
    <row r="18" spans="1:23" ht="15.6" x14ac:dyDescent="0.3">
      <c r="A18" s="40"/>
      <c r="B18" s="3"/>
      <c r="C18" s="4"/>
      <c r="D18" s="4"/>
      <c r="E18" s="4"/>
      <c r="F18" s="4"/>
      <c r="G18" s="4"/>
      <c r="H18" s="4"/>
      <c r="I18" s="4"/>
      <c r="J18" s="4"/>
      <c r="K18" s="4"/>
      <c r="L18" s="3"/>
      <c r="M18" s="4"/>
      <c r="N18" s="4"/>
      <c r="O18" s="4"/>
      <c r="P18" s="4"/>
      <c r="Q18" s="4"/>
    </row>
    <row r="19" spans="1:23" ht="15.6" x14ac:dyDescent="0.3">
      <c r="A19" s="36" t="s">
        <v>49</v>
      </c>
      <c r="B19" s="37">
        <v>4.09</v>
      </c>
      <c r="C19" s="37">
        <v>4.09</v>
      </c>
      <c r="D19" s="37">
        <v>4.09</v>
      </c>
      <c r="E19" s="37">
        <v>4.09</v>
      </c>
      <c r="F19" s="37">
        <v>4.09</v>
      </c>
      <c r="G19" s="37">
        <v>4.09</v>
      </c>
      <c r="H19" s="37">
        <v>4.09</v>
      </c>
      <c r="I19" s="37">
        <v>4.09</v>
      </c>
      <c r="J19" s="37">
        <v>4.09</v>
      </c>
      <c r="K19" s="37">
        <v>4.09</v>
      </c>
      <c r="L19" s="37">
        <v>4.09</v>
      </c>
      <c r="M19" s="37">
        <v>4.09</v>
      </c>
      <c r="N19" s="37">
        <v>4.09</v>
      </c>
      <c r="O19" s="37">
        <v>4.09</v>
      </c>
      <c r="P19" s="37">
        <v>4.09</v>
      </c>
      <c r="Q19" s="37">
        <v>4.09</v>
      </c>
      <c r="R19" s="13" t="s">
        <v>8</v>
      </c>
      <c r="S19" s="13" t="s">
        <v>9</v>
      </c>
      <c r="T19" s="13" t="s">
        <v>10</v>
      </c>
      <c r="U19" s="13" t="s">
        <v>11</v>
      </c>
      <c r="V19" s="13" t="s">
        <v>12</v>
      </c>
    </row>
    <row r="20" spans="1:23" ht="15.6" x14ac:dyDescent="0.3">
      <c r="A20" s="38" t="s">
        <v>50</v>
      </c>
      <c r="B20" s="37">
        <v>6.4</v>
      </c>
      <c r="C20" s="37">
        <v>6.53</v>
      </c>
      <c r="D20" s="37">
        <v>5.64</v>
      </c>
      <c r="E20" s="37">
        <v>6.42</v>
      </c>
      <c r="F20" s="37">
        <v>5.62</v>
      </c>
      <c r="G20" s="37">
        <v>6.05</v>
      </c>
      <c r="H20" s="37">
        <v>5.8</v>
      </c>
      <c r="I20" s="37">
        <v>5.85</v>
      </c>
      <c r="J20" s="37">
        <v>5.91</v>
      </c>
      <c r="K20" s="37">
        <v>6.08</v>
      </c>
      <c r="L20" s="37">
        <v>6.4</v>
      </c>
      <c r="M20" s="37">
        <v>6.53</v>
      </c>
      <c r="N20" s="37">
        <v>5.64</v>
      </c>
      <c r="O20" s="37">
        <v>6.42</v>
      </c>
      <c r="P20" s="37">
        <v>5.62</v>
      </c>
      <c r="Q20" s="37">
        <v>6.05</v>
      </c>
      <c r="R20" s="14" t="s">
        <v>49</v>
      </c>
      <c r="S20" s="37">
        <v>4.09</v>
      </c>
      <c r="T20" t="s">
        <v>66</v>
      </c>
      <c r="U20" t="s">
        <v>14</v>
      </c>
      <c r="V20" t="s">
        <v>14</v>
      </c>
    </row>
    <row r="21" spans="1:23" ht="15.6" x14ac:dyDescent="0.3">
      <c r="A21" s="38" t="s">
        <v>51</v>
      </c>
      <c r="B21" s="37">
        <v>8.09</v>
      </c>
      <c r="C21" s="37">
        <v>7.6</v>
      </c>
      <c r="D21" s="37">
        <v>6.56</v>
      </c>
      <c r="E21" s="37">
        <v>7.25</v>
      </c>
      <c r="F21" s="37">
        <v>6.4</v>
      </c>
      <c r="G21" s="37">
        <v>6.35</v>
      </c>
      <c r="H21" s="37">
        <v>7.53</v>
      </c>
      <c r="I21" s="37">
        <v>8.11</v>
      </c>
      <c r="J21" s="37">
        <v>6.75</v>
      </c>
      <c r="K21" s="37">
        <v>6.88</v>
      </c>
      <c r="L21" s="37">
        <v>8.09</v>
      </c>
      <c r="M21" s="37">
        <v>7.6</v>
      </c>
      <c r="N21" s="37">
        <v>6.56</v>
      </c>
      <c r="O21" s="37">
        <v>7.25</v>
      </c>
      <c r="P21" s="37">
        <v>6.4</v>
      </c>
      <c r="Q21" s="37">
        <v>6.35</v>
      </c>
      <c r="R21" s="14" t="s">
        <v>50</v>
      </c>
      <c r="S21" s="21">
        <v>6.0600000000000005</v>
      </c>
      <c r="T21" s="14" t="s">
        <v>65</v>
      </c>
      <c r="U21" s="17">
        <v>0.32328672294874394</v>
      </c>
      <c r="V21" t="s">
        <v>14</v>
      </c>
    </row>
    <row r="22" spans="1:23" ht="15.6" x14ac:dyDescent="0.3">
      <c r="A22" s="40"/>
      <c r="B22" s="1"/>
      <c r="C22" s="2"/>
      <c r="D22" s="2"/>
      <c r="E22" s="2"/>
      <c r="F22" s="2"/>
      <c r="G22" s="2"/>
      <c r="H22" s="2"/>
      <c r="I22" s="2"/>
      <c r="J22" s="2"/>
      <c r="K22" s="2"/>
      <c r="L22" s="1"/>
      <c r="M22" s="2"/>
      <c r="N22" s="2"/>
      <c r="O22" s="2"/>
      <c r="P22" s="2"/>
      <c r="Q22" s="2"/>
      <c r="R22" s="14" t="s">
        <v>51</v>
      </c>
      <c r="S22" s="21">
        <v>7.1106249999999998</v>
      </c>
      <c r="T22" s="14" t="s">
        <v>65</v>
      </c>
      <c r="U22" s="17">
        <v>0.31184304181730127</v>
      </c>
      <c r="V22" t="s">
        <v>14</v>
      </c>
      <c r="W22" s="35">
        <f>SUM(S20:S22)</f>
        <v>17.260625000000001</v>
      </c>
    </row>
    <row r="23" spans="1:23" ht="15.6" x14ac:dyDescent="0.3">
      <c r="A23" s="40"/>
      <c r="B23" s="3"/>
      <c r="C23" s="4"/>
      <c r="D23" s="4"/>
      <c r="E23" s="4"/>
      <c r="F23" s="4"/>
      <c r="G23" s="4"/>
      <c r="H23" s="4"/>
      <c r="I23" s="4"/>
      <c r="J23" s="4"/>
      <c r="K23" s="4"/>
      <c r="L23" s="3"/>
      <c r="M23" s="4"/>
      <c r="N23" s="4"/>
      <c r="O23" s="4"/>
      <c r="P23" s="4"/>
      <c r="Q23" s="4"/>
    </row>
    <row r="24" spans="1:23" ht="15.6" x14ac:dyDescent="0.3">
      <c r="A24" s="36" t="s">
        <v>52</v>
      </c>
      <c r="B24" s="37">
        <v>4.72</v>
      </c>
      <c r="C24" s="37">
        <v>5.48</v>
      </c>
      <c r="D24" s="37">
        <v>4.57</v>
      </c>
      <c r="E24" s="37">
        <v>4.83</v>
      </c>
      <c r="F24" s="37">
        <v>5.66</v>
      </c>
      <c r="G24" s="37">
        <v>5.04</v>
      </c>
      <c r="H24" s="37">
        <v>5.71</v>
      </c>
      <c r="I24" s="37">
        <v>5.29</v>
      </c>
      <c r="J24" s="37">
        <v>5.81</v>
      </c>
      <c r="K24" s="37">
        <v>5.9</v>
      </c>
      <c r="L24" s="37">
        <v>4.72</v>
      </c>
      <c r="M24" s="37">
        <v>5.48</v>
      </c>
      <c r="N24" s="37">
        <v>4.57</v>
      </c>
      <c r="O24" s="37">
        <v>4.83</v>
      </c>
      <c r="P24" s="37">
        <v>5.66</v>
      </c>
      <c r="Q24" s="37">
        <v>5.04</v>
      </c>
      <c r="R24" s="13" t="s">
        <v>8</v>
      </c>
      <c r="S24" s="13" t="s">
        <v>9</v>
      </c>
      <c r="T24" s="13" t="s">
        <v>10</v>
      </c>
      <c r="U24" s="13" t="s">
        <v>11</v>
      </c>
      <c r="V24" s="13" t="s">
        <v>12</v>
      </c>
    </row>
    <row r="25" spans="1:23" ht="15.6" x14ac:dyDescent="0.3">
      <c r="A25" s="38" t="s">
        <v>53</v>
      </c>
      <c r="B25" s="37">
        <v>3.47</v>
      </c>
      <c r="C25" s="37">
        <v>3.54</v>
      </c>
      <c r="D25" s="37">
        <v>3.39</v>
      </c>
      <c r="E25" s="37">
        <v>3.18</v>
      </c>
      <c r="F25" s="37">
        <v>3.01</v>
      </c>
      <c r="G25" s="37">
        <v>3.54</v>
      </c>
      <c r="H25" s="37">
        <v>3.68</v>
      </c>
      <c r="I25" s="37">
        <v>3.49</v>
      </c>
      <c r="J25" s="37">
        <v>3</v>
      </c>
      <c r="K25" s="37">
        <v>3.6</v>
      </c>
      <c r="L25" s="37">
        <v>3.47</v>
      </c>
      <c r="M25" s="37">
        <v>3.54</v>
      </c>
      <c r="N25" s="37">
        <v>3.39</v>
      </c>
      <c r="O25" s="37">
        <v>3.18</v>
      </c>
      <c r="P25" s="37">
        <v>3.01</v>
      </c>
      <c r="Q25" s="37">
        <v>3.54</v>
      </c>
      <c r="R25" s="14" t="s">
        <v>52</v>
      </c>
      <c r="S25" s="21">
        <v>5.2350000000000003</v>
      </c>
      <c r="T25" s="14" t="s">
        <v>67</v>
      </c>
      <c r="U25" s="17">
        <v>0.32013463457329294</v>
      </c>
      <c r="V25" s="20">
        <v>0.8005352511418149</v>
      </c>
    </row>
    <row r="26" spans="1:23" ht="15.6" x14ac:dyDescent="0.3">
      <c r="A26" s="38" t="s">
        <v>54</v>
      </c>
      <c r="B26" s="37">
        <v>13.48</v>
      </c>
      <c r="C26" s="37">
        <v>13.22</v>
      </c>
      <c r="D26" s="37">
        <v>13.58</v>
      </c>
      <c r="E26" s="37">
        <v>13.03</v>
      </c>
      <c r="F26" s="37">
        <v>13.22</v>
      </c>
      <c r="G26" s="37">
        <v>13.19</v>
      </c>
      <c r="H26" s="37">
        <v>13.29</v>
      </c>
      <c r="I26" s="37">
        <v>12.96</v>
      </c>
      <c r="J26" s="37">
        <v>13.64</v>
      </c>
      <c r="K26" s="37">
        <v>13.49</v>
      </c>
      <c r="L26" s="37">
        <v>13.48</v>
      </c>
      <c r="M26" s="37">
        <v>13.22</v>
      </c>
      <c r="N26" s="37">
        <v>13.58</v>
      </c>
      <c r="O26" s="37">
        <v>13.03</v>
      </c>
      <c r="P26" s="37">
        <v>13.22</v>
      </c>
      <c r="Q26" s="37">
        <v>13.19</v>
      </c>
      <c r="R26" s="14" t="s">
        <v>53</v>
      </c>
      <c r="S26" s="21">
        <v>3.3760543380642063</v>
      </c>
      <c r="T26" s="14" t="s">
        <v>62</v>
      </c>
      <c r="U26" s="17">
        <v>0.62113955925675768</v>
      </c>
      <c r="V26" t="s">
        <v>14</v>
      </c>
    </row>
    <row r="27" spans="1:23" ht="15.6" x14ac:dyDescent="0.3">
      <c r="A27" s="40"/>
      <c r="B27" s="1"/>
      <c r="C27" s="2"/>
      <c r="D27" s="2"/>
      <c r="E27" s="2"/>
      <c r="F27" s="2"/>
      <c r="G27" s="2"/>
      <c r="H27" s="2"/>
      <c r="I27" s="2"/>
      <c r="J27" s="2"/>
      <c r="K27" s="2"/>
      <c r="L27" s="1"/>
      <c r="M27" s="2"/>
      <c r="N27" s="2"/>
      <c r="O27" s="2"/>
      <c r="P27" s="2"/>
      <c r="Q27" s="2"/>
      <c r="R27" s="14" t="s">
        <v>54</v>
      </c>
      <c r="S27" s="21">
        <v>13.3</v>
      </c>
      <c r="T27" s="14" t="s">
        <v>67</v>
      </c>
      <c r="U27" s="17">
        <v>0.42488576827097901</v>
      </c>
      <c r="V27" s="20">
        <v>0.66027095716835738</v>
      </c>
      <c r="W27" s="33">
        <f>SUM(S25:S27)</f>
        <v>21.911054338064208</v>
      </c>
    </row>
    <row r="28" spans="1:23" ht="15.6" x14ac:dyDescent="0.3">
      <c r="A28" s="40"/>
      <c r="B28" s="3"/>
      <c r="C28" s="4"/>
      <c r="D28" s="4"/>
      <c r="E28" s="4"/>
      <c r="F28" s="4"/>
      <c r="G28" s="4"/>
      <c r="H28" s="4"/>
      <c r="I28" s="4"/>
      <c r="J28" s="4"/>
      <c r="K28" s="4"/>
      <c r="L28" s="3"/>
      <c r="M28" s="4"/>
      <c r="N28" s="4"/>
      <c r="O28" s="4"/>
      <c r="P28" s="4"/>
      <c r="Q28" s="4"/>
    </row>
    <row r="29" spans="1:23" ht="15.6" x14ac:dyDescent="0.3">
      <c r="A29" s="36" t="s">
        <v>55</v>
      </c>
      <c r="B29" s="37">
        <v>4.8499999999999996</v>
      </c>
      <c r="C29" s="37">
        <v>4.8899999999999997</v>
      </c>
      <c r="D29" s="37">
        <v>5.73</v>
      </c>
      <c r="E29" s="37">
        <v>5.88</v>
      </c>
      <c r="F29" s="37">
        <v>5.7</v>
      </c>
      <c r="G29" s="37">
        <v>6.51</v>
      </c>
      <c r="H29" s="37">
        <v>5.8</v>
      </c>
      <c r="I29" s="37">
        <v>4.9800000000000004</v>
      </c>
      <c r="J29" s="37">
        <v>5.72</v>
      </c>
      <c r="K29" s="37">
        <v>6.49</v>
      </c>
      <c r="L29" s="37">
        <v>4.8499999999999996</v>
      </c>
      <c r="M29" s="37">
        <v>4.8899999999999997</v>
      </c>
      <c r="N29" s="37">
        <v>5.73</v>
      </c>
      <c r="O29" s="37">
        <v>5.88</v>
      </c>
      <c r="P29" s="37">
        <v>5.7</v>
      </c>
      <c r="Q29" s="37">
        <v>6.51</v>
      </c>
      <c r="R29" s="13" t="s">
        <v>8</v>
      </c>
      <c r="S29" s="13" t="s">
        <v>9</v>
      </c>
      <c r="T29" s="13" t="s">
        <v>10</v>
      </c>
      <c r="U29" s="13" t="s">
        <v>11</v>
      </c>
      <c r="V29" s="13" t="s">
        <v>12</v>
      </c>
    </row>
    <row r="30" spans="1:23" ht="15.6" x14ac:dyDescent="0.3">
      <c r="A30" s="38" t="s">
        <v>56</v>
      </c>
      <c r="B30" s="37">
        <v>2.81</v>
      </c>
      <c r="C30" s="37">
        <v>2.86</v>
      </c>
      <c r="D30" s="37">
        <v>2.76</v>
      </c>
      <c r="E30" s="37">
        <v>2.39</v>
      </c>
      <c r="F30" s="37">
        <v>3.4</v>
      </c>
      <c r="G30" s="37">
        <v>2.73</v>
      </c>
      <c r="H30" s="37">
        <v>3.18</v>
      </c>
      <c r="I30" s="37">
        <v>2.94</v>
      </c>
      <c r="J30" s="37">
        <v>2.75</v>
      </c>
      <c r="K30" s="37">
        <v>2.79</v>
      </c>
      <c r="L30" s="37">
        <v>2.81</v>
      </c>
      <c r="M30" s="37">
        <v>2.86</v>
      </c>
      <c r="N30" s="37">
        <v>2.76</v>
      </c>
      <c r="O30" s="37">
        <v>2.39</v>
      </c>
      <c r="P30" s="37">
        <v>3.4</v>
      </c>
      <c r="Q30" s="37">
        <v>2.73</v>
      </c>
      <c r="R30" s="14" t="s">
        <v>55</v>
      </c>
      <c r="S30" s="21">
        <v>5.6318750000000009</v>
      </c>
      <c r="T30" s="14" t="s">
        <v>65</v>
      </c>
      <c r="U30" s="17">
        <v>0.83218134205858973</v>
      </c>
      <c r="V30" t="s">
        <v>14</v>
      </c>
    </row>
    <row r="31" spans="1:23" ht="15.6" x14ac:dyDescent="0.3">
      <c r="A31" s="38" t="s">
        <v>57</v>
      </c>
      <c r="B31" s="37">
        <v>8.2100000000000009</v>
      </c>
      <c r="C31" s="37">
        <v>8.0399999999999991</v>
      </c>
      <c r="D31" s="37">
        <v>7.66</v>
      </c>
      <c r="E31" s="37">
        <v>7.65</v>
      </c>
      <c r="F31" s="37">
        <v>8.07</v>
      </c>
      <c r="G31" s="37">
        <v>8.5299999999999994</v>
      </c>
      <c r="H31" s="37">
        <v>8.1199999999999992</v>
      </c>
      <c r="I31" s="37">
        <v>7.42</v>
      </c>
      <c r="J31" s="37">
        <v>8.26</v>
      </c>
      <c r="K31" s="37">
        <v>7.66</v>
      </c>
      <c r="L31" s="37">
        <v>8.2100000000000009</v>
      </c>
      <c r="M31" s="37">
        <v>8.0399999999999991</v>
      </c>
      <c r="N31" s="37">
        <v>7.66</v>
      </c>
      <c r="O31" s="37">
        <v>7.65</v>
      </c>
      <c r="P31" s="37">
        <v>8.07</v>
      </c>
      <c r="Q31" s="37">
        <v>8.5299999999999994</v>
      </c>
      <c r="R31" s="14" t="s">
        <v>56</v>
      </c>
      <c r="S31" s="21">
        <v>2.8309068627450986</v>
      </c>
      <c r="T31" s="14" t="s">
        <v>36</v>
      </c>
      <c r="U31" s="17">
        <v>0.86343380451332408</v>
      </c>
      <c r="V31" s="20">
        <v>1.2203215087303487E-2</v>
      </c>
    </row>
    <row r="32" spans="1:23" ht="15.6" x14ac:dyDescent="0.3">
      <c r="A32" s="38" t="s">
        <v>58</v>
      </c>
      <c r="B32" s="37">
        <v>1.1000000000000001</v>
      </c>
      <c r="C32" s="37">
        <v>1.1399999999999999</v>
      </c>
      <c r="D32" s="37">
        <v>1.1499999999999999</v>
      </c>
      <c r="E32" s="37">
        <v>1.17</v>
      </c>
      <c r="F32" s="37">
        <v>1.07</v>
      </c>
      <c r="G32" s="37">
        <v>1.0900000000000001</v>
      </c>
      <c r="H32" s="37">
        <v>1.1100000000000001</v>
      </c>
      <c r="I32" s="37">
        <v>1.06</v>
      </c>
      <c r="J32" s="37">
        <v>1.1000000000000001</v>
      </c>
      <c r="K32" s="37">
        <v>1.1000000000000001</v>
      </c>
      <c r="L32" s="37">
        <v>1.1000000000000001</v>
      </c>
      <c r="M32" s="37">
        <v>1.1399999999999999</v>
      </c>
      <c r="N32" s="37">
        <v>1.1499999999999999</v>
      </c>
      <c r="O32" s="37">
        <v>1.17</v>
      </c>
      <c r="P32" s="37">
        <v>1.07</v>
      </c>
      <c r="Q32" s="37">
        <v>1.0900000000000001</v>
      </c>
      <c r="R32" s="14" t="s">
        <v>57</v>
      </c>
      <c r="S32" s="21">
        <v>7.9862499999999992</v>
      </c>
      <c r="T32" s="14" t="s">
        <v>65</v>
      </c>
      <c r="U32" s="17">
        <v>0.55528998764101445</v>
      </c>
      <c r="V32" t="s">
        <v>14</v>
      </c>
    </row>
    <row r="33" spans="1:23" ht="15.6" x14ac:dyDescent="0.3">
      <c r="A33" s="38" t="s">
        <v>59</v>
      </c>
      <c r="B33" s="37">
        <v>3.56</v>
      </c>
      <c r="C33" s="37">
        <v>2.61</v>
      </c>
      <c r="D33" s="37">
        <v>3.35</v>
      </c>
      <c r="E33" s="37">
        <v>3.76</v>
      </c>
      <c r="F33" s="37">
        <v>3.88</v>
      </c>
      <c r="G33" s="37">
        <v>3.49</v>
      </c>
      <c r="H33" s="37">
        <v>4.12</v>
      </c>
      <c r="I33" s="37">
        <v>3.77</v>
      </c>
      <c r="J33" s="37">
        <v>2.82</v>
      </c>
      <c r="K33" s="37">
        <v>3.14</v>
      </c>
      <c r="L33" s="37">
        <v>3.56</v>
      </c>
      <c r="M33" s="37">
        <v>2.61</v>
      </c>
      <c r="N33" s="37">
        <v>3.35</v>
      </c>
      <c r="O33" s="37">
        <v>3.76</v>
      </c>
      <c r="P33" s="37">
        <v>3.88</v>
      </c>
      <c r="Q33" s="37">
        <v>3.49</v>
      </c>
      <c r="R33" s="14" t="s">
        <v>58</v>
      </c>
      <c r="S33" s="21">
        <v>1.115</v>
      </c>
      <c r="T33" s="14" t="s">
        <v>67</v>
      </c>
      <c r="U33" s="17">
        <v>0.39875209968920089</v>
      </c>
      <c r="V33" s="20">
        <v>0.69471162321564972</v>
      </c>
    </row>
    <row r="34" spans="1:23" ht="15.6" x14ac:dyDescent="0.3">
      <c r="A34" s="38" t="s">
        <v>60</v>
      </c>
      <c r="B34" s="37">
        <v>4.6500000000000004</v>
      </c>
      <c r="C34" s="37">
        <v>4.46</v>
      </c>
      <c r="D34" s="37">
        <v>4.9000000000000004</v>
      </c>
      <c r="E34" s="37">
        <v>4.83</v>
      </c>
      <c r="F34" s="37">
        <v>4.7300000000000004</v>
      </c>
      <c r="G34" s="37">
        <v>4.96</v>
      </c>
      <c r="H34" s="37">
        <v>5.0999999999999996</v>
      </c>
      <c r="I34" s="37">
        <v>5.07</v>
      </c>
      <c r="J34" s="37">
        <v>5.46</v>
      </c>
      <c r="K34" s="37">
        <v>4.63</v>
      </c>
      <c r="L34" s="37">
        <v>4.6500000000000004</v>
      </c>
      <c r="M34" s="37">
        <v>4.46</v>
      </c>
      <c r="N34" s="37">
        <v>4.9000000000000004</v>
      </c>
      <c r="O34" s="37">
        <v>4.83</v>
      </c>
      <c r="P34" s="37">
        <v>4.7300000000000004</v>
      </c>
      <c r="Q34" s="37">
        <v>4.96</v>
      </c>
      <c r="R34" s="14" t="s">
        <v>59</v>
      </c>
      <c r="S34" s="21">
        <v>3.4495039685367068</v>
      </c>
      <c r="T34" s="14" t="s">
        <v>33</v>
      </c>
      <c r="U34" s="17">
        <v>0.26832435977467384</v>
      </c>
      <c r="V34" s="20">
        <v>0.68635397747173243</v>
      </c>
    </row>
    <row r="35" spans="1:23" x14ac:dyDescent="0.3">
      <c r="R35" s="14" t="s">
        <v>60</v>
      </c>
      <c r="S35" s="21">
        <v>4.8216176470588241</v>
      </c>
      <c r="T35" s="14" t="s">
        <v>36</v>
      </c>
      <c r="U35" s="17">
        <v>0.20799527872736334</v>
      </c>
      <c r="V35" s="20">
        <v>0.81492524892085128</v>
      </c>
      <c r="W35" s="33">
        <f>SUM(S30:S35)</f>
        <v>25.835153478340629</v>
      </c>
    </row>
  </sheetData>
  <mergeCells count="11">
    <mergeCell ref="L11:Q12"/>
    <mergeCell ref="L15:Q15"/>
    <mergeCell ref="L17:Q18"/>
    <mergeCell ref="L22:Q23"/>
    <mergeCell ref="L27:Q28"/>
    <mergeCell ref="B5:K6"/>
    <mergeCell ref="B11:K12"/>
    <mergeCell ref="B15:K15"/>
    <mergeCell ref="B17:K18"/>
    <mergeCell ref="B22:K23"/>
    <mergeCell ref="B27:K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CB_Batch_Fit</vt:lpstr>
      <vt:lpstr>Micro-Movement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Hoàng Nguyễn</dc:creator>
  <cp:lastModifiedBy>Huy Hoàng Nguyễn</cp:lastModifiedBy>
  <dcterms:created xsi:type="dcterms:W3CDTF">2026-05-01T02:50:13Z</dcterms:created>
  <dcterms:modified xsi:type="dcterms:W3CDTF">2026-05-01T11:16:01Z</dcterms:modified>
</cp:coreProperties>
</file>